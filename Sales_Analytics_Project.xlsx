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VLOOKUP - Product Lookup" sheetId="2" state="visible" r:id="rId4"/>
    <sheet name="COUNTIF &amp; SUMIF" sheetId="3" state="visible" r:id="rId5"/>
    <sheet name="Pivot Table Analysi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<sst xmlns="http://schemas.openxmlformats.org/spreadsheetml/2006/main" count="1315" uniqueCount="293">
  <si>
    <t xml:space="preserve">🏆  ANNUAL SALES DATA – FY 2024-25</t>
  </si>
  <si>
    <t xml:space="preserve">Emp ID</t>
  </si>
  <si>
    <t xml:space="preserve">Month</t>
  </si>
  <si>
    <t xml:space="preserve">Region</t>
  </si>
  <si>
    <t xml:space="preserve">Sales Rep</t>
  </si>
  <si>
    <t xml:space="preserve">Product</t>
  </si>
  <si>
    <t xml:space="preserve">Qty Sold</t>
  </si>
  <si>
    <t xml:space="preserve">Unit Price (₹)</t>
  </si>
  <si>
    <t xml:space="preserve">Total Sales (₹)</t>
  </si>
  <si>
    <t xml:space="preserve">Sales Target (₹)</t>
  </si>
  <si>
    <t xml:space="preserve">E1001</t>
  </si>
  <si>
    <t xml:space="preserve">Jan</t>
  </si>
  <si>
    <t xml:space="preserve">North</t>
  </si>
  <si>
    <t xml:space="preserve">Amit Kumar</t>
  </si>
  <si>
    <t xml:space="preserve">Keyboard</t>
  </si>
  <si>
    <t xml:space="preserve">E1002</t>
  </si>
  <si>
    <t xml:space="preserve">Speaker</t>
  </si>
  <si>
    <t xml:space="preserve">E1003</t>
  </si>
  <si>
    <t xml:space="preserve">South</t>
  </si>
  <si>
    <t xml:space="preserve">Ravi Sharma</t>
  </si>
  <si>
    <t xml:space="preserve">Webcam</t>
  </si>
  <si>
    <t xml:space="preserve">E1004</t>
  </si>
  <si>
    <t xml:space="preserve">West</t>
  </si>
  <si>
    <t xml:space="preserve">Suresh Nair</t>
  </si>
  <si>
    <t xml:space="preserve">Printer</t>
  </si>
  <si>
    <t xml:space="preserve">E1005</t>
  </si>
  <si>
    <t xml:space="preserve">Headphones</t>
  </si>
  <si>
    <t xml:space="preserve">E1006</t>
  </si>
  <si>
    <t xml:space="preserve">East</t>
  </si>
  <si>
    <t xml:space="preserve">Mohit Gupta</t>
  </si>
  <si>
    <t xml:space="preserve">Mobile</t>
  </si>
  <si>
    <t xml:space="preserve">E1007</t>
  </si>
  <si>
    <t xml:space="preserve">Anjali Verma</t>
  </si>
  <si>
    <t xml:space="preserve">Laptop</t>
  </si>
  <si>
    <t xml:space="preserve">E1008</t>
  </si>
  <si>
    <t xml:space="preserve">E1009</t>
  </si>
  <si>
    <t xml:space="preserve">E1010</t>
  </si>
  <si>
    <t xml:space="preserve">Monitor</t>
  </si>
  <si>
    <t xml:space="preserve">E1011</t>
  </si>
  <si>
    <t xml:space="preserve">Mouse</t>
  </si>
  <si>
    <t xml:space="preserve">E1012</t>
  </si>
  <si>
    <t xml:space="preserve">E1013</t>
  </si>
  <si>
    <t xml:space="preserve">E1014</t>
  </si>
  <si>
    <t xml:space="preserve">E1015</t>
  </si>
  <si>
    <t xml:space="preserve">E1016</t>
  </si>
  <si>
    <t xml:space="preserve">E1017</t>
  </si>
  <si>
    <t xml:space="preserve">Kavita Joshi</t>
  </si>
  <si>
    <t xml:space="preserve">E1018</t>
  </si>
  <si>
    <t xml:space="preserve">E1019</t>
  </si>
  <si>
    <t xml:space="preserve">Feb</t>
  </si>
  <si>
    <t xml:space="preserve">E1020</t>
  </si>
  <si>
    <t xml:space="preserve">E1021</t>
  </si>
  <si>
    <t xml:space="preserve">E1022</t>
  </si>
  <si>
    <t xml:space="preserve">E1023</t>
  </si>
  <si>
    <t xml:space="preserve">E1024</t>
  </si>
  <si>
    <t xml:space="preserve">Priya Singh</t>
  </si>
  <si>
    <t xml:space="preserve">E1025</t>
  </si>
  <si>
    <t xml:space="preserve">E1026</t>
  </si>
  <si>
    <t xml:space="preserve">E1027</t>
  </si>
  <si>
    <t xml:space="preserve">E1028</t>
  </si>
  <si>
    <t xml:space="preserve">E1029</t>
  </si>
  <si>
    <t xml:space="preserve">E1030</t>
  </si>
  <si>
    <t xml:space="preserve">E1031</t>
  </si>
  <si>
    <t xml:space="preserve">E1032</t>
  </si>
  <si>
    <t xml:space="preserve">Sneha Patel</t>
  </si>
  <si>
    <t xml:space="preserve">E1033</t>
  </si>
  <si>
    <t xml:space="preserve">E1034</t>
  </si>
  <si>
    <t xml:space="preserve">E1035</t>
  </si>
  <si>
    <t xml:space="preserve">E1036</t>
  </si>
  <si>
    <t xml:space="preserve">E1037</t>
  </si>
  <si>
    <t xml:space="preserve">Mar</t>
  </si>
  <si>
    <t xml:space="preserve">E1038</t>
  </si>
  <si>
    <t xml:space="preserve">E1039</t>
  </si>
  <si>
    <t xml:space="preserve">E1040</t>
  </si>
  <si>
    <t xml:space="preserve">E1041</t>
  </si>
  <si>
    <t xml:space="preserve">E1042</t>
  </si>
  <si>
    <t xml:space="preserve">E1043</t>
  </si>
  <si>
    <t xml:space="preserve">E1044</t>
  </si>
  <si>
    <t xml:space="preserve">E1045</t>
  </si>
  <si>
    <t xml:space="preserve">E1046</t>
  </si>
  <si>
    <t xml:space="preserve">E1047</t>
  </si>
  <si>
    <t xml:space="preserve">E1048</t>
  </si>
  <si>
    <t xml:space="preserve">E1049</t>
  </si>
  <si>
    <t xml:space="preserve">E1050</t>
  </si>
  <si>
    <t xml:space="preserve">E1051</t>
  </si>
  <si>
    <t xml:space="preserve">E1052</t>
  </si>
  <si>
    <t xml:space="preserve">E1053</t>
  </si>
  <si>
    <t xml:space="preserve">E1054</t>
  </si>
  <si>
    <t xml:space="preserve">E1055</t>
  </si>
  <si>
    <t xml:space="preserve">Apr</t>
  </si>
  <si>
    <t xml:space="preserve">E1056</t>
  </si>
  <si>
    <t xml:space="preserve">E1057</t>
  </si>
  <si>
    <t xml:space="preserve">E1058</t>
  </si>
  <si>
    <t xml:space="preserve">E1059</t>
  </si>
  <si>
    <t xml:space="preserve">E1060</t>
  </si>
  <si>
    <t xml:space="preserve">E1061</t>
  </si>
  <si>
    <t xml:space="preserve">E1062</t>
  </si>
  <si>
    <t xml:space="preserve">Tablet</t>
  </si>
  <si>
    <t xml:space="preserve">E1063</t>
  </si>
  <si>
    <t xml:space="preserve">E1064</t>
  </si>
  <si>
    <t xml:space="preserve">E1065</t>
  </si>
  <si>
    <t xml:space="preserve">E1066</t>
  </si>
  <si>
    <t xml:space="preserve">E1067</t>
  </si>
  <si>
    <t xml:space="preserve">E1068</t>
  </si>
  <si>
    <t xml:space="preserve">E1069</t>
  </si>
  <si>
    <t xml:space="preserve">E1070</t>
  </si>
  <si>
    <t xml:space="preserve">E1071</t>
  </si>
  <si>
    <t xml:space="preserve">E1072</t>
  </si>
  <si>
    <t xml:space="preserve">E1073</t>
  </si>
  <si>
    <t xml:space="preserve">May</t>
  </si>
  <si>
    <t xml:space="preserve">E1074</t>
  </si>
  <si>
    <t xml:space="preserve">E1075</t>
  </si>
  <si>
    <t xml:space="preserve">E1076</t>
  </si>
  <si>
    <t xml:space="preserve">E1077</t>
  </si>
  <si>
    <t xml:space="preserve">E1078</t>
  </si>
  <si>
    <t xml:space="preserve">E1079</t>
  </si>
  <si>
    <t xml:space="preserve">E1080</t>
  </si>
  <si>
    <t xml:space="preserve">E1081</t>
  </si>
  <si>
    <t xml:space="preserve">E1082</t>
  </si>
  <si>
    <t xml:space="preserve">E1083</t>
  </si>
  <si>
    <t xml:space="preserve">E1084</t>
  </si>
  <si>
    <t xml:space="preserve">E1085</t>
  </si>
  <si>
    <t xml:space="preserve">E1086</t>
  </si>
  <si>
    <t xml:space="preserve">E1087</t>
  </si>
  <si>
    <t xml:space="preserve">E1088</t>
  </si>
  <si>
    <t xml:space="preserve">E1089</t>
  </si>
  <si>
    <t xml:space="preserve">E1090</t>
  </si>
  <si>
    <t xml:space="preserve">E1091</t>
  </si>
  <si>
    <t xml:space="preserve">Jun</t>
  </si>
  <si>
    <t xml:space="preserve">E1092</t>
  </si>
  <si>
    <t xml:space="preserve">E1093</t>
  </si>
  <si>
    <t xml:space="preserve">E1094</t>
  </si>
  <si>
    <t xml:space="preserve">E1095</t>
  </si>
  <si>
    <t xml:space="preserve">E1096</t>
  </si>
  <si>
    <t xml:space="preserve">E1097</t>
  </si>
  <si>
    <t xml:space="preserve">E1098</t>
  </si>
  <si>
    <t xml:space="preserve">E1099</t>
  </si>
  <si>
    <t xml:space="preserve">E1100</t>
  </si>
  <si>
    <t xml:space="preserve">E1101</t>
  </si>
  <si>
    <t xml:space="preserve">E1102</t>
  </si>
  <si>
    <t xml:space="preserve">E1103</t>
  </si>
  <si>
    <t xml:space="preserve">E1104</t>
  </si>
  <si>
    <t xml:space="preserve">E1105</t>
  </si>
  <si>
    <t xml:space="preserve">E1106</t>
  </si>
  <si>
    <t xml:space="preserve">E1107</t>
  </si>
  <si>
    <t xml:space="preserve">E1108</t>
  </si>
  <si>
    <t xml:space="preserve">E1109</t>
  </si>
  <si>
    <t xml:space="preserve">Jul</t>
  </si>
  <si>
    <t xml:space="preserve">E1110</t>
  </si>
  <si>
    <t xml:space="preserve">E1111</t>
  </si>
  <si>
    <t xml:space="preserve">E1112</t>
  </si>
  <si>
    <t xml:space="preserve">E1113</t>
  </si>
  <si>
    <t xml:space="preserve">E1114</t>
  </si>
  <si>
    <t xml:space="preserve">E1115</t>
  </si>
  <si>
    <t xml:space="preserve">E1116</t>
  </si>
  <si>
    <t xml:space="preserve">E1117</t>
  </si>
  <si>
    <t xml:space="preserve">E1118</t>
  </si>
  <si>
    <t xml:space="preserve">E1119</t>
  </si>
  <si>
    <t xml:space="preserve">E1120</t>
  </si>
  <si>
    <t xml:space="preserve">E1121</t>
  </si>
  <si>
    <t xml:space="preserve">E1122</t>
  </si>
  <si>
    <t xml:space="preserve">E1123</t>
  </si>
  <si>
    <t xml:space="preserve">E1124</t>
  </si>
  <si>
    <t xml:space="preserve">E1125</t>
  </si>
  <si>
    <t xml:space="preserve">E1126</t>
  </si>
  <si>
    <t xml:space="preserve">E1127</t>
  </si>
  <si>
    <t xml:space="preserve">Aug</t>
  </si>
  <si>
    <t xml:space="preserve">E1128</t>
  </si>
  <si>
    <t xml:space="preserve">E1129</t>
  </si>
  <si>
    <t xml:space="preserve">E1130</t>
  </si>
  <si>
    <t xml:space="preserve">E1131</t>
  </si>
  <si>
    <t xml:space="preserve">E1132</t>
  </si>
  <si>
    <t xml:space="preserve">E1133</t>
  </si>
  <si>
    <t xml:space="preserve">E1134</t>
  </si>
  <si>
    <t xml:space="preserve">E1135</t>
  </si>
  <si>
    <t xml:space="preserve">E1136</t>
  </si>
  <si>
    <t xml:space="preserve">E1137</t>
  </si>
  <si>
    <t xml:space="preserve">E1138</t>
  </si>
  <si>
    <t xml:space="preserve">E1139</t>
  </si>
  <si>
    <t xml:space="preserve">E1140</t>
  </si>
  <si>
    <t xml:space="preserve">E1141</t>
  </si>
  <si>
    <t xml:space="preserve">E1142</t>
  </si>
  <si>
    <t xml:space="preserve">E1143</t>
  </si>
  <si>
    <t xml:space="preserve">E1144</t>
  </si>
  <si>
    <t xml:space="preserve">E1145</t>
  </si>
  <si>
    <t xml:space="preserve">Sep</t>
  </si>
  <si>
    <t xml:space="preserve">E1146</t>
  </si>
  <si>
    <t xml:space="preserve">E1147</t>
  </si>
  <si>
    <t xml:space="preserve">E1148</t>
  </si>
  <si>
    <t xml:space="preserve">E1149</t>
  </si>
  <si>
    <t xml:space="preserve">E1150</t>
  </si>
  <si>
    <t xml:space="preserve">E1151</t>
  </si>
  <si>
    <t xml:space="preserve">E1152</t>
  </si>
  <si>
    <t xml:space="preserve">E1153</t>
  </si>
  <si>
    <t xml:space="preserve">E1154</t>
  </si>
  <si>
    <t xml:space="preserve">E1155</t>
  </si>
  <si>
    <t xml:space="preserve">E1156</t>
  </si>
  <si>
    <t xml:space="preserve">E1157</t>
  </si>
  <si>
    <t xml:space="preserve">E1158</t>
  </si>
  <si>
    <t xml:space="preserve">E1159</t>
  </si>
  <si>
    <t xml:space="preserve">E1160</t>
  </si>
  <si>
    <t xml:space="preserve">E1161</t>
  </si>
  <si>
    <t xml:space="preserve">E1162</t>
  </si>
  <si>
    <t xml:space="preserve">E1163</t>
  </si>
  <si>
    <t xml:space="preserve">Oct</t>
  </si>
  <si>
    <t xml:space="preserve">E1164</t>
  </si>
  <si>
    <t xml:space="preserve">E1165</t>
  </si>
  <si>
    <t xml:space="preserve">E1166</t>
  </si>
  <si>
    <t xml:space="preserve">E1167</t>
  </si>
  <si>
    <t xml:space="preserve">E1168</t>
  </si>
  <si>
    <t xml:space="preserve">E1169</t>
  </si>
  <si>
    <t xml:space="preserve">E1170</t>
  </si>
  <si>
    <t xml:space="preserve">E1171</t>
  </si>
  <si>
    <t xml:space="preserve">E1172</t>
  </si>
  <si>
    <t xml:space="preserve">E1173</t>
  </si>
  <si>
    <t xml:space="preserve">E1174</t>
  </si>
  <si>
    <t xml:space="preserve">E1175</t>
  </si>
  <si>
    <t xml:space="preserve">E1176</t>
  </si>
  <si>
    <t xml:space="preserve">E1177</t>
  </si>
  <si>
    <t xml:space="preserve">E1178</t>
  </si>
  <si>
    <t xml:space="preserve">E1179</t>
  </si>
  <si>
    <t xml:space="preserve">E1180</t>
  </si>
  <si>
    <t xml:space="preserve">E1181</t>
  </si>
  <si>
    <t xml:space="preserve">Nov</t>
  </si>
  <si>
    <t xml:space="preserve">E1182</t>
  </si>
  <si>
    <t xml:space="preserve">E1183</t>
  </si>
  <si>
    <t xml:space="preserve">E1184</t>
  </si>
  <si>
    <t xml:space="preserve">E1185</t>
  </si>
  <si>
    <t xml:space="preserve">E1186</t>
  </si>
  <si>
    <t xml:space="preserve">E1187</t>
  </si>
  <si>
    <t xml:space="preserve">E1188</t>
  </si>
  <si>
    <t xml:space="preserve">E1189</t>
  </si>
  <si>
    <t xml:space="preserve">E1190</t>
  </si>
  <si>
    <t xml:space="preserve">E1191</t>
  </si>
  <si>
    <t xml:space="preserve">E1192</t>
  </si>
  <si>
    <t xml:space="preserve">E1193</t>
  </si>
  <si>
    <t xml:space="preserve">E1194</t>
  </si>
  <si>
    <t xml:space="preserve">E1195</t>
  </si>
  <si>
    <t xml:space="preserve">E1196</t>
  </si>
  <si>
    <t xml:space="preserve">E1197</t>
  </si>
  <si>
    <t xml:space="preserve">E1198</t>
  </si>
  <si>
    <t xml:space="preserve">E1199</t>
  </si>
  <si>
    <t xml:space="preserve">Dec</t>
  </si>
  <si>
    <t xml:space="preserve">E1200</t>
  </si>
  <si>
    <t xml:space="preserve">E1201</t>
  </si>
  <si>
    <t xml:space="preserve">E1202</t>
  </si>
  <si>
    <t xml:space="preserve">E1203</t>
  </si>
  <si>
    <t xml:space="preserve">E1204</t>
  </si>
  <si>
    <t xml:space="preserve">E1205</t>
  </si>
  <si>
    <t xml:space="preserve">E1206</t>
  </si>
  <si>
    <t xml:space="preserve">E1207</t>
  </si>
  <si>
    <t xml:space="preserve">E1208</t>
  </si>
  <si>
    <t xml:space="preserve">E1209</t>
  </si>
  <si>
    <t xml:space="preserve">E1210</t>
  </si>
  <si>
    <t xml:space="preserve">E1211</t>
  </si>
  <si>
    <t xml:space="preserve">E1212</t>
  </si>
  <si>
    <t xml:space="preserve">E1213</t>
  </si>
  <si>
    <t xml:space="preserve">E1214</t>
  </si>
  <si>
    <t xml:space="preserve">E1215</t>
  </si>
  <si>
    <t xml:space="preserve">E1216</t>
  </si>
  <si>
    <t xml:space="preserve">📋  PRODUCT REFERENCE TABLE</t>
  </si>
  <si>
    <t xml:space="preserve">🔍  VLOOKUP DEMO – EMPLOYEE SALES LOOKUP</t>
  </si>
  <si>
    <t xml:space="preserve">Category</t>
  </si>
  <si>
    <t xml:space="preserve">Price (₹)</t>
  </si>
  <si>
    <t xml:space="preserve">Category (VLOOKUP)</t>
  </si>
  <si>
    <t xml:space="preserve">Unit Price (VLOOKUP)</t>
  </si>
  <si>
    <t xml:space="preserve">Electronics</t>
  </si>
  <si>
    <t xml:space="preserve">Accessories</t>
  </si>
  <si>
    <t xml:space="preserve">Peripherals</t>
  </si>
  <si>
    <t xml:space="preserve">ℹ️  VLOOKUP(lookup_value, table_array, col_index, [range_lookup])  – Searches col G in Product Reference Table and returns Category or Price</t>
  </si>
  <si>
    <t xml:space="preserve">📊  COUNTIF – HOW MANY TIMES WAS EACH PRODUCT SOLD?</t>
  </si>
  <si>
    <t xml:space="preserve">💰  SUMIF – TOTAL SALES BY REGION &amp; PRODUCT</t>
  </si>
  <si>
    <t xml:space="preserve">Count of Sales</t>
  </si>
  <si>
    <t xml:space="preserve">Count &gt; 10 Units</t>
  </si>
  <si>
    <t xml:space="preserve">Count = 'North' Region</t>
  </si>
  <si>
    <t xml:space="preserve">Total Target (₹)</t>
  </si>
  <si>
    <t xml:space="preserve">Achievement %</t>
  </si>
  <si>
    <t xml:space="preserve">TOTAL</t>
  </si>
  <si>
    <t xml:space="preserve">💰  SUMIF – TOTAL SALES BY PRODUCT</t>
  </si>
  <si>
    <t xml:space="preserve">Total Qty</t>
  </si>
  <si>
    <t xml:space="preserve">Avg Price (₹)</t>
  </si>
  <si>
    <t xml:space="preserve">📊  PIVOT TABLE – SALES BY MONTH × REGION</t>
  </si>
  <si>
    <t xml:space="preserve">Grand Total</t>
  </si>
  <si>
    <t xml:space="preserve">📊  PIVOT TABLE – SALES BY PRODUCT × REGION</t>
  </si>
  <si>
    <t xml:space="preserve">🏆  ANNUAL SALES PERFORMANCE DASHBOARD – FY 2024-25</t>
  </si>
  <si>
    <t xml:space="preserve">Total Revenue</t>
  </si>
  <si>
    <t xml:space="preserve">Total Units Sold</t>
  </si>
  <si>
    <t xml:space="preserve">Total Transactions</t>
  </si>
  <si>
    <t xml:space="preserve">Avg Sale Value</t>
  </si>
  <si>
    <t xml:space="preserve">FY 2024-25</t>
  </si>
  <si>
    <t xml:space="preserve">Monthly Sales (₹)</t>
  </si>
  <si>
    <t xml:space="preserve">Regional Sales (₹)</t>
  </si>
  <si>
    <t xml:space="preserve">Product Sales (₹)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</si>
</sst>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.00"/>
    <numFmt numFmtId="166" formatCode="\₹#,##0"/>
    <numFmt numFmtId="167" formatCode="0.0%"/>
    <numFmt numFmtId="168" formatCode="General"/>
    <numFmt numFmtId="169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C55A11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4672A8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C55A11"/>
        <bgColor rgb="FFAB4744"/>
      </patternFill>
    </fill>
    <fill>
      <patternFill patternType="solid">
        <fgColor rgb="FF375623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A7EBB"/>
      <rgbColor rgb="FFB8CD97"/>
      <rgbColor rgb="FF878787"/>
      <rgbColor rgb="FF93A9CE"/>
      <rgbColor rgb="FFAB4744"/>
      <rgbColor rgb="FFFFF2CC"/>
      <rgbColor rgb="FFF2F2F2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E2EFDA"/>
      <rgbColor rgb="FFFFFF99"/>
      <rgbColor rgb="FFD9D9D9"/>
      <rgbColor rgb="FFD09493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725990"/>
      <rgbColor rgb="FFAAAAAA"/>
      <rgbColor rgb="FF1F3864"/>
      <rgbColor rgb="FF4299B0"/>
      <rgbColor rgb="FF003300"/>
      <rgbColor rgb="FF333300"/>
      <rgbColor rgb="FF993300"/>
      <rgbColor rgb="FF993366"/>
      <rgbColor rgb="FF59595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Monthly Sales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\₹#,##0</c:formatCode>
                <c:ptCount val="12"/>
                <c:pt idx="0">
                  <c:v>787478</c:v>
                </c:pt>
                <c:pt idx="1">
                  <c:v>863182</c:v>
                </c:pt>
                <c:pt idx="2">
                  <c:v>518511</c:v>
                </c:pt>
                <c:pt idx="3">
                  <c:v>1000679</c:v>
                </c:pt>
                <c:pt idx="4">
                  <c:v>881225</c:v>
                </c:pt>
                <c:pt idx="5">
                  <c:v>641583</c:v>
                </c:pt>
                <c:pt idx="6">
                  <c:v>533293</c:v>
                </c:pt>
                <c:pt idx="7">
                  <c:v>852527</c:v>
                </c:pt>
                <c:pt idx="8">
                  <c:v>993340</c:v>
                </c:pt>
                <c:pt idx="9">
                  <c:v>903686</c:v>
                </c:pt>
                <c:pt idx="10">
                  <c:v>851108</c:v>
                </c:pt>
                <c:pt idx="11">
                  <c:v>763988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254996"/>
        <c:axId val="42431467"/>
      </c:lineChart>
      <c:catAx>
        <c:axId val="582549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31467"/>
        <c:crosses val="autoZero"/>
        <c:auto val="1"/>
        <c:lblAlgn val="ctr"/>
        <c:lblOffset val="100"/>
        <c:noMultiLvlLbl val="0"/>
      </c:catAx>
      <c:valAx>
        <c:axId val="42431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549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Dashboard!F9</c:f>
              <c:strCache>
                <c:ptCount val="1"/>
                <c:pt idx="0">
                  <c:v>Regional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Dashboard!$E$10:$E$13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Dashboard!$F$10:$F$13</c:f>
              <c:numCache>
                <c:formatCode>\₹#,##0</c:formatCode>
                <c:ptCount val="4"/>
                <c:pt idx="0">
                  <c:v>1529877</c:v>
                </c:pt>
                <c:pt idx="1">
                  <c:v>2077579</c:v>
                </c:pt>
                <c:pt idx="2">
                  <c:v>3139054</c:v>
                </c:pt>
                <c:pt idx="3">
                  <c:v>2844090</c:v>
                </c:pt>
              </c:numCache>
            </c:numRef>
          </c:val>
        </c:ser>
        <c:gapWidth val="150"/>
        <c:overlap val="0"/>
        <c:axId val="95086975"/>
        <c:axId val="32560229"/>
      </c:barChart>
      <c:catAx>
        <c:axId val="950869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60229"/>
        <c:crosses val="autoZero"/>
        <c:auto val="1"/>
        <c:lblAlgn val="ctr"/>
        <c:lblOffset val="100"/>
        <c:noMultiLvlLbl val="0"/>
      </c:catAx>
      <c:valAx>
        <c:axId val="32560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869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Dashboard!I9</c:f>
              <c:strCache>
                <c:ptCount val="1"/>
                <c:pt idx="0">
                  <c:v>Product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Dashboard!$H$10:$H$18</c:f>
              <c:strCache>
                <c:ptCount val="9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Monitor</c:v>
                </c:pt>
                <c:pt idx="4">
                  <c:v>Keyboard</c:v>
                </c:pt>
                <c:pt idx="5">
                  <c:v>Mouse</c:v>
                </c:pt>
                <c:pt idx="6">
                  <c:v>Headphones</c:v>
                </c:pt>
                <c:pt idx="7">
                  <c:v>Printer</c:v>
                </c:pt>
                <c:pt idx="8">
                  <c:v>Webcam</c:v>
                </c:pt>
              </c:strCache>
            </c:strRef>
          </c:cat>
          <c:val>
            <c:numRef>
              <c:f>Dashboard!$I$10:$I$18</c:f>
              <c:numCache>
                <c:formatCode>\₹#,##0</c:formatCode>
                <c:ptCount val="9"/>
                <c:pt idx="0">
                  <c:v>1361039</c:v>
                </c:pt>
                <c:pt idx="1">
                  <c:v>2344635</c:v>
                </c:pt>
                <c:pt idx="2">
                  <c:v>946653</c:v>
                </c:pt>
                <c:pt idx="3">
                  <c:v>1736920</c:v>
                </c:pt>
                <c:pt idx="4">
                  <c:v>277100</c:v>
                </c:pt>
                <c:pt idx="5">
                  <c:v>87813</c:v>
                </c:pt>
                <c:pt idx="6">
                  <c:v>475174</c:v>
                </c:pt>
                <c:pt idx="7">
                  <c:v>1550739</c:v>
                </c:pt>
                <c:pt idx="8">
                  <c:v>503752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39960</xdr:rowOff>
    </xdr:from>
    <xdr:to>
      <xdr:col>7</xdr:col>
      <xdr:colOff>745560</xdr:colOff>
      <xdr:row>42</xdr:row>
      <xdr:rowOff>168840</xdr:rowOff>
    </xdr:to>
    <xdr:graphicFrame>
      <xdr:nvGraphicFramePr>
        <xdr:cNvPr id="0" name="Chart 1"/>
        <xdr:cNvGraphicFramePr/>
      </xdr:nvGraphicFramePr>
      <xdr:xfrm>
        <a:off x="611640" y="47149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39960</xdr:rowOff>
    </xdr:from>
    <xdr:to>
      <xdr:col>11</xdr:col>
      <xdr:colOff>1045080</xdr:colOff>
      <xdr:row>42</xdr:row>
      <xdr:rowOff>168840</xdr:rowOff>
    </xdr:to>
    <xdr:graphicFrame>
      <xdr:nvGraphicFramePr>
        <xdr:cNvPr id="1" name="Chart 2"/>
        <xdr:cNvGraphicFramePr/>
      </xdr:nvGraphicFramePr>
      <xdr:xfrm>
        <a:off x="6345720" y="47149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44</xdr:row>
      <xdr:rowOff>39960</xdr:rowOff>
    </xdr:from>
    <xdr:to>
      <xdr:col>7</xdr:col>
      <xdr:colOff>25560</xdr:colOff>
      <xdr:row>66</xdr:row>
      <xdr:rowOff>168840</xdr:rowOff>
    </xdr:to>
    <xdr:graphicFrame>
      <xdr:nvGraphicFramePr>
        <xdr:cNvPr id="2" name="Chart 3"/>
        <xdr:cNvGraphicFramePr/>
      </xdr:nvGraphicFramePr>
      <xdr:xfrm>
        <a:off x="611640" y="92869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4" t="s">
        <v>13</v>
      </c>
      <c r="E3" s="4" t="s">
        <v>14</v>
      </c>
      <c r="F3" s="3" t="n">
        <v>8</v>
      </c>
      <c r="G3" s="5" t="n">
        <v>913</v>
      </c>
      <c r="H3" s="5" t="n">
        <v>7304</v>
      </c>
      <c r="I3" s="5" t="n">
        <v>6250.87</v>
      </c>
    </row>
    <row r="4" customFormat="false" ht="15" hidden="false" customHeight="false" outlineLevel="0" collapsed="false">
      <c r="A4" s="6" t="s">
        <v>15</v>
      </c>
      <c r="B4" s="6" t="s">
        <v>11</v>
      </c>
      <c r="C4" s="6" t="s">
        <v>12</v>
      </c>
      <c r="D4" s="7" t="s">
        <v>13</v>
      </c>
      <c r="E4" s="7" t="s">
        <v>16</v>
      </c>
      <c r="F4" s="6" t="n">
        <v>14</v>
      </c>
      <c r="G4" s="8" t="n">
        <v>1315</v>
      </c>
      <c r="H4" s="8" t="n">
        <v>18410</v>
      </c>
      <c r="I4" s="8" t="n">
        <v>14947.43</v>
      </c>
    </row>
    <row r="5" customFormat="false" ht="15" hidden="false" customHeight="false" outlineLevel="0" collapsed="false">
      <c r="A5" s="3" t="s">
        <v>17</v>
      </c>
      <c r="B5" s="3" t="s">
        <v>11</v>
      </c>
      <c r="C5" s="3" t="s">
        <v>18</v>
      </c>
      <c r="D5" s="4" t="s">
        <v>19</v>
      </c>
      <c r="E5" s="4" t="s">
        <v>20</v>
      </c>
      <c r="F5" s="3" t="n">
        <v>20</v>
      </c>
      <c r="G5" s="5" t="n">
        <v>1812</v>
      </c>
      <c r="H5" s="5" t="n">
        <v>36240</v>
      </c>
      <c r="I5" s="5" t="n">
        <v>37127.81</v>
      </c>
    </row>
    <row r="6" customFormat="false" ht="15" hidden="false" customHeight="false" outlineLevel="0" collapsed="false">
      <c r="A6" s="6" t="s">
        <v>21</v>
      </c>
      <c r="B6" s="6" t="s">
        <v>11</v>
      </c>
      <c r="C6" s="6" t="s">
        <v>22</v>
      </c>
      <c r="D6" s="7" t="s">
        <v>23</v>
      </c>
      <c r="E6" s="7" t="s">
        <v>24</v>
      </c>
      <c r="F6" s="6" t="n">
        <v>19</v>
      </c>
      <c r="G6" s="8" t="n">
        <v>5941</v>
      </c>
      <c r="H6" s="8" t="n">
        <v>112879</v>
      </c>
      <c r="I6" s="8" t="n">
        <v>126850.28</v>
      </c>
    </row>
    <row r="7" customFormat="false" ht="15" hidden="false" customHeight="false" outlineLevel="0" collapsed="false">
      <c r="A7" s="3" t="s">
        <v>25</v>
      </c>
      <c r="B7" s="3" t="s">
        <v>11</v>
      </c>
      <c r="C7" s="3" t="s">
        <v>12</v>
      </c>
      <c r="D7" s="4" t="s">
        <v>13</v>
      </c>
      <c r="E7" s="4" t="s">
        <v>26</v>
      </c>
      <c r="F7" s="3" t="n">
        <v>11</v>
      </c>
      <c r="G7" s="5" t="n">
        <v>2441</v>
      </c>
      <c r="H7" s="5" t="n">
        <v>26851</v>
      </c>
      <c r="I7" s="5" t="n">
        <v>23150.71</v>
      </c>
    </row>
    <row r="8" customFormat="false" ht="15" hidden="false" customHeight="false" outlineLevel="0" collapsed="false">
      <c r="A8" s="6" t="s">
        <v>27</v>
      </c>
      <c r="B8" s="6" t="s">
        <v>11</v>
      </c>
      <c r="C8" s="6" t="s">
        <v>28</v>
      </c>
      <c r="D8" s="7" t="s">
        <v>29</v>
      </c>
      <c r="E8" s="7" t="s">
        <v>30</v>
      </c>
      <c r="F8" s="6" t="n">
        <v>13</v>
      </c>
      <c r="G8" s="8" t="n">
        <v>6848</v>
      </c>
      <c r="H8" s="8" t="n">
        <v>89024</v>
      </c>
      <c r="I8" s="8" t="n">
        <v>84002.31</v>
      </c>
    </row>
    <row r="9" customFormat="false" ht="15" hidden="false" customHeight="false" outlineLevel="0" collapsed="false">
      <c r="A9" s="3" t="s">
        <v>31</v>
      </c>
      <c r="B9" s="3" t="s">
        <v>11</v>
      </c>
      <c r="C9" s="3" t="s">
        <v>28</v>
      </c>
      <c r="D9" s="4" t="s">
        <v>32</v>
      </c>
      <c r="E9" s="4" t="s">
        <v>33</v>
      </c>
      <c r="F9" s="3" t="n">
        <v>15</v>
      </c>
      <c r="G9" s="5" t="n">
        <v>10073</v>
      </c>
      <c r="H9" s="5" t="n">
        <v>151095</v>
      </c>
      <c r="I9" s="5" t="n">
        <v>128420.24</v>
      </c>
    </row>
    <row r="10" customFormat="false" ht="15" hidden="false" customHeight="false" outlineLevel="0" collapsed="false">
      <c r="A10" s="6" t="s">
        <v>34</v>
      </c>
      <c r="B10" s="6" t="s">
        <v>11</v>
      </c>
      <c r="C10" s="6" t="s">
        <v>22</v>
      </c>
      <c r="D10" s="7" t="s">
        <v>23</v>
      </c>
      <c r="E10" s="7" t="s">
        <v>20</v>
      </c>
      <c r="F10" s="6" t="n">
        <v>10</v>
      </c>
      <c r="G10" s="8" t="n">
        <v>2120</v>
      </c>
      <c r="H10" s="8" t="n">
        <v>21200</v>
      </c>
      <c r="I10" s="8" t="n">
        <v>22205.05</v>
      </c>
    </row>
    <row r="11" customFormat="false" ht="15" hidden="false" customHeight="false" outlineLevel="0" collapsed="false">
      <c r="A11" s="3" t="s">
        <v>35</v>
      </c>
      <c r="B11" s="3" t="s">
        <v>11</v>
      </c>
      <c r="C11" s="3" t="s">
        <v>28</v>
      </c>
      <c r="D11" s="4" t="s">
        <v>29</v>
      </c>
      <c r="E11" s="4" t="s">
        <v>30</v>
      </c>
      <c r="F11" s="3" t="n">
        <v>2</v>
      </c>
      <c r="G11" s="5" t="n">
        <v>7137</v>
      </c>
      <c r="H11" s="5" t="n">
        <v>14274</v>
      </c>
      <c r="I11" s="5" t="n">
        <v>12720.41</v>
      </c>
    </row>
    <row r="12" customFormat="false" ht="15" hidden="false" customHeight="false" outlineLevel="0" collapsed="false">
      <c r="A12" s="6" t="s">
        <v>36</v>
      </c>
      <c r="B12" s="6" t="s">
        <v>11</v>
      </c>
      <c r="C12" s="6" t="s">
        <v>28</v>
      </c>
      <c r="D12" s="7" t="s">
        <v>29</v>
      </c>
      <c r="E12" s="7" t="s">
        <v>37</v>
      </c>
      <c r="F12" s="6" t="n">
        <v>4</v>
      </c>
      <c r="G12" s="8" t="n">
        <v>7493</v>
      </c>
      <c r="H12" s="8" t="n">
        <v>29972</v>
      </c>
      <c r="I12" s="8" t="n">
        <v>27310.17</v>
      </c>
    </row>
    <row r="13" customFormat="false" ht="15" hidden="false" customHeight="false" outlineLevel="0" collapsed="false">
      <c r="A13" s="3" t="s">
        <v>38</v>
      </c>
      <c r="B13" s="3" t="s">
        <v>11</v>
      </c>
      <c r="C13" s="3" t="s">
        <v>28</v>
      </c>
      <c r="D13" s="4" t="s">
        <v>29</v>
      </c>
      <c r="E13" s="4" t="s">
        <v>39</v>
      </c>
      <c r="F13" s="3" t="n">
        <v>12</v>
      </c>
      <c r="G13" s="5" t="n">
        <v>506</v>
      </c>
      <c r="H13" s="5" t="n">
        <v>6072</v>
      </c>
      <c r="I13" s="5" t="n">
        <v>6485.32</v>
      </c>
    </row>
    <row r="14" customFormat="false" ht="15" hidden="false" customHeight="false" outlineLevel="0" collapsed="false">
      <c r="A14" s="6" t="s">
        <v>40</v>
      </c>
      <c r="B14" s="6" t="s">
        <v>11</v>
      </c>
      <c r="C14" s="6" t="s">
        <v>12</v>
      </c>
      <c r="D14" s="7" t="s">
        <v>13</v>
      </c>
      <c r="E14" s="7" t="s">
        <v>20</v>
      </c>
      <c r="F14" s="6" t="n">
        <v>8</v>
      </c>
      <c r="G14" s="8" t="n">
        <v>1882</v>
      </c>
      <c r="H14" s="8" t="n">
        <v>15056</v>
      </c>
      <c r="I14" s="8" t="n">
        <v>14828.72</v>
      </c>
    </row>
    <row r="15" customFormat="false" ht="15" hidden="false" customHeight="false" outlineLevel="0" collapsed="false">
      <c r="A15" s="3" t="s">
        <v>41</v>
      </c>
      <c r="B15" s="3" t="s">
        <v>11</v>
      </c>
      <c r="C15" s="3" t="s">
        <v>28</v>
      </c>
      <c r="D15" s="4" t="s">
        <v>29</v>
      </c>
      <c r="E15" s="4" t="s">
        <v>39</v>
      </c>
      <c r="F15" s="3" t="n">
        <v>2</v>
      </c>
      <c r="G15" s="5" t="n">
        <v>516</v>
      </c>
      <c r="H15" s="5" t="n">
        <v>1032</v>
      </c>
      <c r="I15" s="5" t="n">
        <v>1164.84</v>
      </c>
    </row>
    <row r="16" customFormat="false" ht="15" hidden="false" customHeight="false" outlineLevel="0" collapsed="false">
      <c r="A16" s="6" t="s">
        <v>42</v>
      </c>
      <c r="B16" s="6" t="s">
        <v>11</v>
      </c>
      <c r="C16" s="6" t="s">
        <v>28</v>
      </c>
      <c r="D16" s="7" t="s">
        <v>32</v>
      </c>
      <c r="E16" s="7" t="s">
        <v>14</v>
      </c>
      <c r="F16" s="6" t="n">
        <v>3</v>
      </c>
      <c r="G16" s="8" t="n">
        <v>907</v>
      </c>
      <c r="H16" s="8" t="n">
        <v>2721</v>
      </c>
      <c r="I16" s="8" t="n">
        <v>3170.66</v>
      </c>
    </row>
    <row r="17" customFormat="false" ht="15" hidden="false" customHeight="false" outlineLevel="0" collapsed="false">
      <c r="A17" s="3" t="s">
        <v>43</v>
      </c>
      <c r="B17" s="3" t="s">
        <v>11</v>
      </c>
      <c r="C17" s="3" t="s">
        <v>28</v>
      </c>
      <c r="D17" s="4" t="s">
        <v>29</v>
      </c>
      <c r="E17" s="4" t="s">
        <v>24</v>
      </c>
      <c r="F17" s="3" t="n">
        <v>13</v>
      </c>
      <c r="G17" s="5" t="n">
        <v>6128</v>
      </c>
      <c r="H17" s="5" t="n">
        <v>79664</v>
      </c>
      <c r="I17" s="5" t="n">
        <v>78352.79</v>
      </c>
    </row>
    <row r="18" customFormat="false" ht="15" hidden="false" customHeight="false" outlineLevel="0" collapsed="false">
      <c r="A18" s="6" t="s">
        <v>44</v>
      </c>
      <c r="B18" s="6" t="s">
        <v>11</v>
      </c>
      <c r="C18" s="6" t="s">
        <v>28</v>
      </c>
      <c r="D18" s="7" t="s">
        <v>29</v>
      </c>
      <c r="E18" s="7" t="s">
        <v>37</v>
      </c>
      <c r="F18" s="6" t="n">
        <v>18</v>
      </c>
      <c r="G18" s="8" t="n">
        <v>7574</v>
      </c>
      <c r="H18" s="8" t="n">
        <v>136332</v>
      </c>
      <c r="I18" s="8" t="n">
        <v>123393.64</v>
      </c>
    </row>
    <row r="19" customFormat="false" ht="15" hidden="false" customHeight="false" outlineLevel="0" collapsed="false">
      <c r="A19" s="3" t="s">
        <v>45</v>
      </c>
      <c r="B19" s="3" t="s">
        <v>11</v>
      </c>
      <c r="C19" s="3" t="s">
        <v>22</v>
      </c>
      <c r="D19" s="4" t="s">
        <v>46</v>
      </c>
      <c r="E19" s="4" t="s">
        <v>39</v>
      </c>
      <c r="F19" s="3" t="n">
        <v>8</v>
      </c>
      <c r="G19" s="5" t="n">
        <v>469</v>
      </c>
      <c r="H19" s="5" t="n">
        <v>3752</v>
      </c>
      <c r="I19" s="5" t="n">
        <v>3766.3</v>
      </c>
    </row>
    <row r="20" customFormat="false" ht="15" hidden="false" customHeight="false" outlineLevel="0" collapsed="false">
      <c r="A20" s="6" t="s">
        <v>47</v>
      </c>
      <c r="B20" s="6" t="s">
        <v>11</v>
      </c>
      <c r="C20" s="6" t="s">
        <v>12</v>
      </c>
      <c r="D20" s="7" t="s">
        <v>13</v>
      </c>
      <c r="E20" s="7" t="s">
        <v>30</v>
      </c>
      <c r="F20" s="6" t="n">
        <v>5</v>
      </c>
      <c r="G20" s="8" t="n">
        <v>7120</v>
      </c>
      <c r="H20" s="8" t="n">
        <v>35600</v>
      </c>
      <c r="I20" s="8" t="n">
        <v>30758.14</v>
      </c>
    </row>
    <row r="21" customFormat="false" ht="15" hidden="false" customHeight="false" outlineLevel="0" collapsed="false">
      <c r="A21" s="3" t="s">
        <v>48</v>
      </c>
      <c r="B21" s="3" t="s">
        <v>49</v>
      </c>
      <c r="C21" s="3" t="s">
        <v>22</v>
      </c>
      <c r="D21" s="4" t="s">
        <v>23</v>
      </c>
      <c r="E21" s="4" t="s">
        <v>26</v>
      </c>
      <c r="F21" s="3" t="n">
        <v>13</v>
      </c>
      <c r="G21" s="5" t="n">
        <v>2604</v>
      </c>
      <c r="H21" s="5" t="n">
        <v>33852</v>
      </c>
      <c r="I21" s="5" t="n">
        <v>40569.88</v>
      </c>
    </row>
    <row r="22" customFormat="false" ht="15" hidden="false" customHeight="false" outlineLevel="0" collapsed="false">
      <c r="A22" s="6" t="s">
        <v>50</v>
      </c>
      <c r="B22" s="6" t="s">
        <v>49</v>
      </c>
      <c r="C22" s="6" t="s">
        <v>28</v>
      </c>
      <c r="D22" s="7" t="s">
        <v>29</v>
      </c>
      <c r="E22" s="7" t="s">
        <v>30</v>
      </c>
      <c r="F22" s="6" t="n">
        <v>18</v>
      </c>
      <c r="G22" s="8" t="n">
        <v>7183</v>
      </c>
      <c r="H22" s="8" t="n">
        <v>129294</v>
      </c>
      <c r="I22" s="8" t="n">
        <v>117234.76</v>
      </c>
    </row>
    <row r="23" customFormat="false" ht="15" hidden="false" customHeight="false" outlineLevel="0" collapsed="false">
      <c r="A23" s="3" t="s">
        <v>51</v>
      </c>
      <c r="B23" s="3" t="s">
        <v>49</v>
      </c>
      <c r="C23" s="3" t="s">
        <v>28</v>
      </c>
      <c r="D23" s="4" t="s">
        <v>29</v>
      </c>
      <c r="E23" s="4" t="s">
        <v>14</v>
      </c>
      <c r="F23" s="3" t="n">
        <v>14</v>
      </c>
      <c r="G23" s="5" t="n">
        <v>879</v>
      </c>
      <c r="H23" s="5" t="n">
        <v>12306</v>
      </c>
      <c r="I23" s="5" t="n">
        <v>12078.21</v>
      </c>
    </row>
    <row r="24" customFormat="false" ht="15" hidden="false" customHeight="false" outlineLevel="0" collapsed="false">
      <c r="A24" s="6" t="s">
        <v>52</v>
      </c>
      <c r="B24" s="6" t="s">
        <v>49</v>
      </c>
      <c r="C24" s="6" t="s">
        <v>28</v>
      </c>
      <c r="D24" s="7" t="s">
        <v>29</v>
      </c>
      <c r="E24" s="7" t="s">
        <v>20</v>
      </c>
      <c r="F24" s="6" t="n">
        <v>4</v>
      </c>
      <c r="G24" s="8" t="n">
        <v>2119</v>
      </c>
      <c r="H24" s="8" t="n">
        <v>8476</v>
      </c>
      <c r="I24" s="8" t="n">
        <v>7792.65</v>
      </c>
    </row>
    <row r="25" customFormat="false" ht="15" hidden="false" customHeight="false" outlineLevel="0" collapsed="false">
      <c r="A25" s="3" t="s">
        <v>53</v>
      </c>
      <c r="B25" s="3" t="s">
        <v>49</v>
      </c>
      <c r="C25" s="3" t="s">
        <v>18</v>
      </c>
      <c r="D25" s="4" t="s">
        <v>19</v>
      </c>
      <c r="E25" s="4" t="s">
        <v>39</v>
      </c>
      <c r="F25" s="3" t="n">
        <v>6</v>
      </c>
      <c r="G25" s="5" t="n">
        <v>675</v>
      </c>
      <c r="H25" s="5" t="n">
        <v>4050</v>
      </c>
      <c r="I25" s="5" t="n">
        <v>4784.67</v>
      </c>
    </row>
    <row r="26" customFormat="false" ht="15" hidden="false" customHeight="false" outlineLevel="0" collapsed="false">
      <c r="A26" s="6" t="s">
        <v>54</v>
      </c>
      <c r="B26" s="6" t="s">
        <v>49</v>
      </c>
      <c r="C26" s="6" t="s">
        <v>12</v>
      </c>
      <c r="D26" s="7" t="s">
        <v>55</v>
      </c>
      <c r="E26" s="7" t="s">
        <v>24</v>
      </c>
      <c r="F26" s="6" t="n">
        <v>1</v>
      </c>
      <c r="G26" s="8" t="n">
        <v>5856</v>
      </c>
      <c r="H26" s="8" t="n">
        <v>5856</v>
      </c>
      <c r="I26" s="8" t="n">
        <v>6861.12</v>
      </c>
    </row>
    <row r="27" customFormat="false" ht="15" hidden="false" customHeight="false" outlineLevel="0" collapsed="false">
      <c r="A27" s="3" t="s">
        <v>56</v>
      </c>
      <c r="B27" s="3" t="s">
        <v>49</v>
      </c>
      <c r="C27" s="3" t="s">
        <v>28</v>
      </c>
      <c r="D27" s="4" t="s">
        <v>29</v>
      </c>
      <c r="E27" s="4" t="s">
        <v>33</v>
      </c>
      <c r="F27" s="3" t="n">
        <v>8</v>
      </c>
      <c r="G27" s="5" t="n">
        <v>10089</v>
      </c>
      <c r="H27" s="5" t="n">
        <v>80712</v>
      </c>
      <c r="I27" s="5" t="n">
        <v>95141.67</v>
      </c>
    </row>
    <row r="28" customFormat="false" ht="15" hidden="false" customHeight="false" outlineLevel="0" collapsed="false">
      <c r="A28" s="6" t="s">
        <v>57</v>
      </c>
      <c r="B28" s="6" t="s">
        <v>49</v>
      </c>
      <c r="C28" s="6" t="s">
        <v>12</v>
      </c>
      <c r="D28" s="7" t="s">
        <v>55</v>
      </c>
      <c r="E28" s="7" t="s">
        <v>30</v>
      </c>
      <c r="F28" s="6" t="n">
        <v>18</v>
      </c>
      <c r="G28" s="8" t="n">
        <v>7191</v>
      </c>
      <c r="H28" s="8" t="n">
        <v>129438</v>
      </c>
      <c r="I28" s="8" t="n">
        <v>110061.68</v>
      </c>
    </row>
    <row r="29" customFormat="false" ht="15" hidden="false" customHeight="false" outlineLevel="0" collapsed="false">
      <c r="A29" s="3" t="s">
        <v>58</v>
      </c>
      <c r="B29" s="3" t="s">
        <v>49</v>
      </c>
      <c r="C29" s="3" t="s">
        <v>22</v>
      </c>
      <c r="D29" s="4" t="s">
        <v>23</v>
      </c>
      <c r="E29" s="4" t="s">
        <v>14</v>
      </c>
      <c r="F29" s="3" t="n">
        <v>17</v>
      </c>
      <c r="G29" s="5" t="n">
        <v>1109</v>
      </c>
      <c r="H29" s="5" t="n">
        <v>18853</v>
      </c>
      <c r="I29" s="5" t="n">
        <v>18273.37</v>
      </c>
    </row>
    <row r="30" customFormat="false" ht="15" hidden="false" customHeight="false" outlineLevel="0" collapsed="false">
      <c r="A30" s="6" t="s">
        <v>59</v>
      </c>
      <c r="B30" s="6" t="s">
        <v>49</v>
      </c>
      <c r="C30" s="6" t="s">
        <v>18</v>
      </c>
      <c r="D30" s="7" t="s">
        <v>19</v>
      </c>
      <c r="E30" s="7" t="s">
        <v>14</v>
      </c>
      <c r="F30" s="6" t="n">
        <v>13</v>
      </c>
      <c r="G30" s="8" t="n">
        <v>1142</v>
      </c>
      <c r="H30" s="8" t="n">
        <v>14846</v>
      </c>
      <c r="I30" s="8" t="n">
        <v>15736.04</v>
      </c>
    </row>
    <row r="31" customFormat="false" ht="15" hidden="false" customHeight="false" outlineLevel="0" collapsed="false">
      <c r="A31" s="3" t="s">
        <v>60</v>
      </c>
      <c r="B31" s="3" t="s">
        <v>49</v>
      </c>
      <c r="C31" s="3" t="s">
        <v>22</v>
      </c>
      <c r="D31" s="4" t="s">
        <v>46</v>
      </c>
      <c r="E31" s="4" t="s">
        <v>30</v>
      </c>
      <c r="F31" s="3" t="n">
        <v>8</v>
      </c>
      <c r="G31" s="5" t="n">
        <v>6914</v>
      </c>
      <c r="H31" s="5" t="n">
        <v>55312</v>
      </c>
      <c r="I31" s="5" t="n">
        <v>45666.16</v>
      </c>
    </row>
    <row r="32" customFormat="false" ht="15" hidden="false" customHeight="false" outlineLevel="0" collapsed="false">
      <c r="A32" s="6" t="s">
        <v>61</v>
      </c>
      <c r="B32" s="6" t="s">
        <v>49</v>
      </c>
      <c r="C32" s="6" t="s">
        <v>12</v>
      </c>
      <c r="D32" s="7" t="s">
        <v>13</v>
      </c>
      <c r="E32" s="7" t="s">
        <v>16</v>
      </c>
      <c r="F32" s="6" t="n">
        <v>8</v>
      </c>
      <c r="G32" s="8" t="n">
        <v>1302</v>
      </c>
      <c r="H32" s="8" t="n">
        <v>10416</v>
      </c>
      <c r="I32" s="8" t="n">
        <v>8628.59</v>
      </c>
    </row>
    <row r="33" customFormat="false" ht="15" hidden="false" customHeight="false" outlineLevel="0" collapsed="false">
      <c r="A33" s="3" t="s">
        <v>62</v>
      </c>
      <c r="B33" s="3" t="s">
        <v>49</v>
      </c>
      <c r="C33" s="3" t="s">
        <v>12</v>
      </c>
      <c r="D33" s="4" t="s">
        <v>13</v>
      </c>
      <c r="E33" s="4" t="s">
        <v>30</v>
      </c>
      <c r="F33" s="3" t="n">
        <v>2</v>
      </c>
      <c r="G33" s="5" t="n">
        <v>6968</v>
      </c>
      <c r="H33" s="5" t="n">
        <v>13936</v>
      </c>
      <c r="I33" s="5" t="n">
        <v>11543.79</v>
      </c>
    </row>
    <row r="34" customFormat="false" ht="15" hidden="false" customHeight="false" outlineLevel="0" collapsed="false">
      <c r="A34" s="6" t="s">
        <v>63</v>
      </c>
      <c r="B34" s="6" t="s">
        <v>49</v>
      </c>
      <c r="C34" s="6" t="s">
        <v>18</v>
      </c>
      <c r="D34" s="7" t="s">
        <v>64</v>
      </c>
      <c r="E34" s="7" t="s">
        <v>24</v>
      </c>
      <c r="F34" s="6" t="n">
        <v>7</v>
      </c>
      <c r="G34" s="8" t="n">
        <v>6075</v>
      </c>
      <c r="H34" s="8" t="n">
        <v>42525</v>
      </c>
      <c r="I34" s="8" t="n">
        <v>36270.62</v>
      </c>
    </row>
    <row r="35" customFormat="false" ht="15" hidden="false" customHeight="false" outlineLevel="0" collapsed="false">
      <c r="A35" s="3" t="s">
        <v>65</v>
      </c>
      <c r="B35" s="3" t="s">
        <v>49</v>
      </c>
      <c r="C35" s="3" t="s">
        <v>22</v>
      </c>
      <c r="D35" s="4" t="s">
        <v>23</v>
      </c>
      <c r="E35" s="4" t="s">
        <v>24</v>
      </c>
      <c r="F35" s="3" t="n">
        <v>14</v>
      </c>
      <c r="G35" s="5" t="n">
        <v>5896</v>
      </c>
      <c r="H35" s="5" t="n">
        <v>82544</v>
      </c>
      <c r="I35" s="5" t="n">
        <v>69149.61</v>
      </c>
    </row>
    <row r="36" customFormat="false" ht="15" hidden="false" customHeight="false" outlineLevel="0" collapsed="false">
      <c r="A36" s="6" t="s">
        <v>66</v>
      </c>
      <c r="B36" s="6" t="s">
        <v>49</v>
      </c>
      <c r="C36" s="6" t="s">
        <v>22</v>
      </c>
      <c r="D36" s="7" t="s">
        <v>46</v>
      </c>
      <c r="E36" s="7" t="s">
        <v>26</v>
      </c>
      <c r="F36" s="6" t="n">
        <v>14</v>
      </c>
      <c r="G36" s="8" t="n">
        <v>2538</v>
      </c>
      <c r="H36" s="8" t="n">
        <v>35532</v>
      </c>
      <c r="I36" s="8" t="n">
        <v>40703.14</v>
      </c>
    </row>
    <row r="37" customFormat="false" ht="15" hidden="false" customHeight="false" outlineLevel="0" collapsed="false">
      <c r="A37" s="3" t="s">
        <v>67</v>
      </c>
      <c r="B37" s="3" t="s">
        <v>49</v>
      </c>
      <c r="C37" s="3" t="s">
        <v>12</v>
      </c>
      <c r="D37" s="4" t="s">
        <v>13</v>
      </c>
      <c r="E37" s="4" t="s">
        <v>33</v>
      </c>
      <c r="F37" s="3" t="n">
        <v>13</v>
      </c>
      <c r="G37" s="5" t="n">
        <v>10171</v>
      </c>
      <c r="H37" s="5" t="n">
        <v>132223</v>
      </c>
      <c r="I37" s="5" t="n">
        <v>123723.84</v>
      </c>
    </row>
    <row r="38" customFormat="false" ht="15" hidden="false" customHeight="false" outlineLevel="0" collapsed="false">
      <c r="A38" s="6" t="s">
        <v>68</v>
      </c>
      <c r="B38" s="6" t="s">
        <v>49</v>
      </c>
      <c r="C38" s="6" t="s">
        <v>12</v>
      </c>
      <c r="D38" s="7" t="s">
        <v>13</v>
      </c>
      <c r="E38" s="7" t="s">
        <v>37</v>
      </c>
      <c r="F38" s="6" t="n">
        <v>7</v>
      </c>
      <c r="G38" s="8" t="n">
        <v>7573</v>
      </c>
      <c r="H38" s="8" t="n">
        <v>53011</v>
      </c>
      <c r="I38" s="8" t="n">
        <v>51921.38</v>
      </c>
    </row>
    <row r="39" customFormat="false" ht="15" hidden="false" customHeight="false" outlineLevel="0" collapsed="false">
      <c r="A39" s="3" t="s">
        <v>69</v>
      </c>
      <c r="B39" s="3" t="s">
        <v>70</v>
      </c>
      <c r="C39" s="3" t="s">
        <v>22</v>
      </c>
      <c r="D39" s="4" t="s">
        <v>23</v>
      </c>
      <c r="E39" s="4" t="s">
        <v>14</v>
      </c>
      <c r="F39" s="3" t="n">
        <v>15</v>
      </c>
      <c r="G39" s="5" t="n">
        <v>926</v>
      </c>
      <c r="H39" s="5" t="n">
        <v>13890</v>
      </c>
      <c r="I39" s="5" t="n">
        <v>15970.64</v>
      </c>
    </row>
    <row r="40" customFormat="false" ht="15" hidden="false" customHeight="false" outlineLevel="0" collapsed="false">
      <c r="A40" s="6" t="s">
        <v>71</v>
      </c>
      <c r="B40" s="6" t="s">
        <v>70</v>
      </c>
      <c r="C40" s="6" t="s">
        <v>12</v>
      </c>
      <c r="D40" s="7" t="s">
        <v>55</v>
      </c>
      <c r="E40" s="7" t="s">
        <v>20</v>
      </c>
      <c r="F40" s="6" t="n">
        <v>4</v>
      </c>
      <c r="G40" s="8" t="n">
        <v>1824</v>
      </c>
      <c r="H40" s="8" t="n">
        <v>7296</v>
      </c>
      <c r="I40" s="8" t="n">
        <v>7740.02</v>
      </c>
    </row>
    <row r="41" customFormat="false" ht="15" hidden="false" customHeight="false" outlineLevel="0" collapsed="false">
      <c r="A41" s="3" t="s">
        <v>72</v>
      </c>
      <c r="B41" s="3" t="s">
        <v>70</v>
      </c>
      <c r="C41" s="3" t="s">
        <v>12</v>
      </c>
      <c r="D41" s="4" t="s">
        <v>13</v>
      </c>
      <c r="E41" s="4" t="s">
        <v>37</v>
      </c>
      <c r="F41" s="3" t="n">
        <v>6</v>
      </c>
      <c r="G41" s="5" t="n">
        <v>7507</v>
      </c>
      <c r="H41" s="5" t="n">
        <v>45042</v>
      </c>
      <c r="I41" s="5" t="n">
        <v>44783.3</v>
      </c>
    </row>
    <row r="42" customFormat="false" ht="15" hidden="false" customHeight="false" outlineLevel="0" collapsed="false">
      <c r="A42" s="6" t="s">
        <v>73</v>
      </c>
      <c r="B42" s="6" t="s">
        <v>70</v>
      </c>
      <c r="C42" s="6" t="s">
        <v>18</v>
      </c>
      <c r="D42" s="7" t="s">
        <v>64</v>
      </c>
      <c r="E42" s="7" t="s">
        <v>33</v>
      </c>
      <c r="F42" s="6" t="n">
        <v>6</v>
      </c>
      <c r="G42" s="8" t="n">
        <v>9993</v>
      </c>
      <c r="H42" s="8" t="n">
        <v>59958</v>
      </c>
      <c r="I42" s="8" t="n">
        <v>48018.09</v>
      </c>
    </row>
    <row r="43" customFormat="false" ht="15" hidden="false" customHeight="false" outlineLevel="0" collapsed="false">
      <c r="A43" s="3" t="s">
        <v>74</v>
      </c>
      <c r="B43" s="3" t="s">
        <v>70</v>
      </c>
      <c r="C43" s="3" t="s">
        <v>22</v>
      </c>
      <c r="D43" s="4" t="s">
        <v>46</v>
      </c>
      <c r="E43" s="4" t="s">
        <v>24</v>
      </c>
      <c r="F43" s="3" t="n">
        <v>10</v>
      </c>
      <c r="G43" s="5" t="n">
        <v>6015</v>
      </c>
      <c r="H43" s="5" t="n">
        <v>60150</v>
      </c>
      <c r="I43" s="5" t="n">
        <v>64879.99</v>
      </c>
    </row>
    <row r="44" customFormat="false" ht="15" hidden="false" customHeight="false" outlineLevel="0" collapsed="false">
      <c r="A44" s="6" t="s">
        <v>75</v>
      </c>
      <c r="B44" s="6" t="s">
        <v>70</v>
      </c>
      <c r="C44" s="6" t="s">
        <v>22</v>
      </c>
      <c r="D44" s="7" t="s">
        <v>23</v>
      </c>
      <c r="E44" s="7" t="s">
        <v>37</v>
      </c>
      <c r="F44" s="6" t="n">
        <v>10</v>
      </c>
      <c r="G44" s="8" t="n">
        <v>7410</v>
      </c>
      <c r="H44" s="8" t="n">
        <v>74100</v>
      </c>
      <c r="I44" s="8" t="n">
        <v>87992.55</v>
      </c>
    </row>
    <row r="45" customFormat="false" ht="15" hidden="false" customHeight="false" outlineLevel="0" collapsed="false">
      <c r="A45" s="3" t="s">
        <v>76</v>
      </c>
      <c r="B45" s="3" t="s">
        <v>70</v>
      </c>
      <c r="C45" s="3" t="s">
        <v>12</v>
      </c>
      <c r="D45" s="4" t="s">
        <v>55</v>
      </c>
      <c r="E45" s="4" t="s">
        <v>33</v>
      </c>
      <c r="F45" s="3" t="n">
        <v>2</v>
      </c>
      <c r="G45" s="5" t="n">
        <v>10098</v>
      </c>
      <c r="H45" s="5" t="n">
        <v>20196</v>
      </c>
      <c r="I45" s="5" t="n">
        <v>20008.49</v>
      </c>
    </row>
    <row r="46" customFormat="false" ht="15" hidden="false" customHeight="false" outlineLevel="0" collapsed="false">
      <c r="A46" s="6" t="s">
        <v>77</v>
      </c>
      <c r="B46" s="6" t="s">
        <v>70</v>
      </c>
      <c r="C46" s="6" t="s">
        <v>18</v>
      </c>
      <c r="D46" s="7" t="s">
        <v>19</v>
      </c>
      <c r="E46" s="7" t="s">
        <v>20</v>
      </c>
      <c r="F46" s="6" t="n">
        <v>3</v>
      </c>
      <c r="G46" s="8" t="n">
        <v>1894</v>
      </c>
      <c r="H46" s="8" t="n">
        <v>5682</v>
      </c>
      <c r="I46" s="8" t="n">
        <v>4701.34</v>
      </c>
    </row>
    <row r="47" customFormat="false" ht="15" hidden="false" customHeight="false" outlineLevel="0" collapsed="false">
      <c r="A47" s="3" t="s">
        <v>78</v>
      </c>
      <c r="B47" s="3" t="s">
        <v>70</v>
      </c>
      <c r="C47" s="3" t="s">
        <v>12</v>
      </c>
      <c r="D47" s="4" t="s">
        <v>13</v>
      </c>
      <c r="E47" s="4" t="s">
        <v>26</v>
      </c>
      <c r="F47" s="3" t="n">
        <v>4</v>
      </c>
      <c r="G47" s="5" t="n">
        <v>2590</v>
      </c>
      <c r="H47" s="5" t="n">
        <v>10360</v>
      </c>
      <c r="I47" s="5" t="n">
        <v>9308.32</v>
      </c>
    </row>
    <row r="48" customFormat="false" ht="15" hidden="false" customHeight="false" outlineLevel="0" collapsed="false">
      <c r="A48" s="6" t="s">
        <v>79</v>
      </c>
      <c r="B48" s="6" t="s">
        <v>70</v>
      </c>
      <c r="C48" s="6" t="s">
        <v>12</v>
      </c>
      <c r="D48" s="7" t="s">
        <v>13</v>
      </c>
      <c r="E48" s="7" t="s">
        <v>26</v>
      </c>
      <c r="F48" s="6" t="n">
        <v>19</v>
      </c>
      <c r="G48" s="8" t="n">
        <v>2588</v>
      </c>
      <c r="H48" s="8" t="n">
        <v>49172</v>
      </c>
      <c r="I48" s="8" t="n">
        <v>49620.11</v>
      </c>
    </row>
    <row r="49" customFormat="false" ht="15" hidden="false" customHeight="false" outlineLevel="0" collapsed="false">
      <c r="A49" s="3" t="s">
        <v>80</v>
      </c>
      <c r="B49" s="3" t="s">
        <v>70</v>
      </c>
      <c r="C49" s="3" t="s">
        <v>28</v>
      </c>
      <c r="D49" s="4" t="s">
        <v>29</v>
      </c>
      <c r="E49" s="4" t="s">
        <v>39</v>
      </c>
      <c r="F49" s="3" t="n">
        <v>8</v>
      </c>
      <c r="G49" s="5" t="n">
        <v>534</v>
      </c>
      <c r="H49" s="5" t="n">
        <v>4272</v>
      </c>
      <c r="I49" s="5" t="n">
        <v>4093.92</v>
      </c>
    </row>
    <row r="50" customFormat="false" ht="15" hidden="false" customHeight="false" outlineLevel="0" collapsed="false">
      <c r="A50" s="6" t="s">
        <v>81</v>
      </c>
      <c r="B50" s="6" t="s">
        <v>70</v>
      </c>
      <c r="C50" s="6" t="s">
        <v>28</v>
      </c>
      <c r="D50" s="7" t="s">
        <v>32</v>
      </c>
      <c r="E50" s="7" t="s">
        <v>39</v>
      </c>
      <c r="F50" s="6" t="n">
        <v>3</v>
      </c>
      <c r="G50" s="8" t="n">
        <v>403</v>
      </c>
      <c r="H50" s="8" t="n">
        <v>1209</v>
      </c>
      <c r="I50" s="8" t="n">
        <v>1188.83</v>
      </c>
    </row>
    <row r="51" customFormat="false" ht="15" hidden="false" customHeight="false" outlineLevel="0" collapsed="false">
      <c r="A51" s="3" t="s">
        <v>82</v>
      </c>
      <c r="B51" s="3" t="s">
        <v>70</v>
      </c>
      <c r="C51" s="3" t="s">
        <v>12</v>
      </c>
      <c r="D51" s="4" t="s">
        <v>13</v>
      </c>
      <c r="E51" s="4" t="s">
        <v>20</v>
      </c>
      <c r="F51" s="3" t="n">
        <v>7</v>
      </c>
      <c r="G51" s="5" t="n">
        <v>2058</v>
      </c>
      <c r="H51" s="5" t="n">
        <v>14406</v>
      </c>
      <c r="I51" s="5" t="n">
        <v>13052.99</v>
      </c>
    </row>
    <row r="52" customFormat="false" ht="15" hidden="false" customHeight="false" outlineLevel="0" collapsed="false">
      <c r="A52" s="6" t="s">
        <v>83</v>
      </c>
      <c r="B52" s="6" t="s">
        <v>70</v>
      </c>
      <c r="C52" s="6" t="s">
        <v>28</v>
      </c>
      <c r="D52" s="7" t="s">
        <v>29</v>
      </c>
      <c r="E52" s="7" t="s">
        <v>37</v>
      </c>
      <c r="F52" s="6" t="n">
        <v>12</v>
      </c>
      <c r="G52" s="8" t="n">
        <v>7444</v>
      </c>
      <c r="H52" s="8" t="n">
        <v>89328</v>
      </c>
      <c r="I52" s="8" t="n">
        <v>77098.88</v>
      </c>
    </row>
    <row r="53" customFormat="false" ht="15" hidden="false" customHeight="false" outlineLevel="0" collapsed="false">
      <c r="A53" s="3" t="s">
        <v>84</v>
      </c>
      <c r="B53" s="3" t="s">
        <v>70</v>
      </c>
      <c r="C53" s="3" t="s">
        <v>28</v>
      </c>
      <c r="D53" s="4" t="s">
        <v>29</v>
      </c>
      <c r="E53" s="4" t="s">
        <v>20</v>
      </c>
      <c r="F53" s="3" t="n">
        <v>10</v>
      </c>
      <c r="G53" s="5" t="n">
        <v>2138</v>
      </c>
      <c r="H53" s="5" t="n">
        <v>21380</v>
      </c>
      <c r="I53" s="5" t="n">
        <v>17989.87</v>
      </c>
    </row>
    <row r="54" customFormat="false" ht="15" hidden="false" customHeight="false" outlineLevel="0" collapsed="false">
      <c r="A54" s="6" t="s">
        <v>85</v>
      </c>
      <c r="B54" s="6" t="s">
        <v>70</v>
      </c>
      <c r="C54" s="6" t="s">
        <v>18</v>
      </c>
      <c r="D54" s="7" t="s">
        <v>64</v>
      </c>
      <c r="E54" s="7" t="s">
        <v>30</v>
      </c>
      <c r="F54" s="6" t="n">
        <v>4</v>
      </c>
      <c r="G54" s="8" t="n">
        <v>7179</v>
      </c>
      <c r="H54" s="8" t="n">
        <v>28716</v>
      </c>
      <c r="I54" s="8" t="n">
        <v>29327.35</v>
      </c>
    </row>
    <row r="55" customFormat="false" ht="15" hidden="false" customHeight="false" outlineLevel="0" collapsed="false">
      <c r="A55" s="3" t="s">
        <v>86</v>
      </c>
      <c r="B55" s="3" t="s">
        <v>70</v>
      </c>
      <c r="C55" s="3" t="s">
        <v>28</v>
      </c>
      <c r="D55" s="4" t="s">
        <v>32</v>
      </c>
      <c r="E55" s="4" t="s">
        <v>16</v>
      </c>
      <c r="F55" s="3" t="n">
        <v>7</v>
      </c>
      <c r="G55" s="5" t="n">
        <v>1666</v>
      </c>
      <c r="H55" s="5" t="n">
        <v>11662</v>
      </c>
      <c r="I55" s="5" t="n">
        <v>10929.07</v>
      </c>
    </row>
    <row r="56" customFormat="false" ht="15" hidden="false" customHeight="false" outlineLevel="0" collapsed="false">
      <c r="A56" s="6" t="s">
        <v>87</v>
      </c>
      <c r="B56" s="6" t="s">
        <v>70</v>
      </c>
      <c r="C56" s="6" t="s">
        <v>28</v>
      </c>
      <c r="D56" s="7" t="s">
        <v>32</v>
      </c>
      <c r="E56" s="7" t="s">
        <v>14</v>
      </c>
      <c r="F56" s="6" t="n">
        <v>2</v>
      </c>
      <c r="G56" s="8" t="n">
        <v>846</v>
      </c>
      <c r="H56" s="8" t="n">
        <v>1692</v>
      </c>
      <c r="I56" s="8" t="n">
        <v>1782.88</v>
      </c>
    </row>
    <row r="57" customFormat="false" ht="15" hidden="false" customHeight="false" outlineLevel="0" collapsed="false">
      <c r="A57" s="3" t="s">
        <v>88</v>
      </c>
      <c r="B57" s="3" t="s">
        <v>89</v>
      </c>
      <c r="C57" s="3" t="s">
        <v>28</v>
      </c>
      <c r="D57" s="4" t="s">
        <v>29</v>
      </c>
      <c r="E57" s="4" t="s">
        <v>33</v>
      </c>
      <c r="F57" s="3" t="n">
        <v>11</v>
      </c>
      <c r="G57" s="5" t="n">
        <v>10193</v>
      </c>
      <c r="H57" s="5" t="n">
        <v>112123</v>
      </c>
      <c r="I57" s="5" t="n">
        <v>95565.56</v>
      </c>
    </row>
    <row r="58" customFormat="false" ht="15" hidden="false" customHeight="false" outlineLevel="0" collapsed="false">
      <c r="A58" s="6" t="s">
        <v>90</v>
      </c>
      <c r="B58" s="6" t="s">
        <v>89</v>
      </c>
      <c r="C58" s="6" t="s">
        <v>28</v>
      </c>
      <c r="D58" s="7" t="s">
        <v>29</v>
      </c>
      <c r="E58" s="7" t="s">
        <v>24</v>
      </c>
      <c r="F58" s="6" t="n">
        <v>18</v>
      </c>
      <c r="G58" s="8" t="n">
        <v>6160</v>
      </c>
      <c r="H58" s="8" t="n">
        <v>110880</v>
      </c>
      <c r="I58" s="8" t="n">
        <v>107672.77</v>
      </c>
    </row>
    <row r="59" customFormat="false" ht="15" hidden="false" customHeight="false" outlineLevel="0" collapsed="false">
      <c r="A59" s="3" t="s">
        <v>91</v>
      </c>
      <c r="B59" s="3" t="s">
        <v>89</v>
      </c>
      <c r="C59" s="3" t="s">
        <v>12</v>
      </c>
      <c r="D59" s="4" t="s">
        <v>13</v>
      </c>
      <c r="E59" s="4" t="s">
        <v>30</v>
      </c>
      <c r="F59" s="3" t="n">
        <v>5</v>
      </c>
      <c r="G59" s="5" t="n">
        <v>7078</v>
      </c>
      <c r="H59" s="5" t="n">
        <v>35390</v>
      </c>
      <c r="I59" s="5" t="n">
        <v>28822.01</v>
      </c>
    </row>
    <row r="60" customFormat="false" ht="15" hidden="false" customHeight="false" outlineLevel="0" collapsed="false">
      <c r="A60" s="6" t="s">
        <v>92</v>
      </c>
      <c r="B60" s="6" t="s">
        <v>89</v>
      </c>
      <c r="C60" s="6" t="s">
        <v>28</v>
      </c>
      <c r="D60" s="7" t="s">
        <v>29</v>
      </c>
      <c r="E60" s="7" t="s">
        <v>26</v>
      </c>
      <c r="F60" s="6" t="n">
        <v>5</v>
      </c>
      <c r="G60" s="8" t="n">
        <v>2320</v>
      </c>
      <c r="H60" s="8" t="n">
        <v>11600</v>
      </c>
      <c r="I60" s="8" t="n">
        <v>10710.32</v>
      </c>
    </row>
    <row r="61" customFormat="false" ht="15" hidden="false" customHeight="false" outlineLevel="0" collapsed="false">
      <c r="A61" s="3" t="s">
        <v>93</v>
      </c>
      <c r="B61" s="3" t="s">
        <v>89</v>
      </c>
      <c r="C61" s="3" t="s">
        <v>12</v>
      </c>
      <c r="D61" s="4" t="s">
        <v>55</v>
      </c>
      <c r="E61" s="4" t="s">
        <v>37</v>
      </c>
      <c r="F61" s="3" t="n">
        <v>8</v>
      </c>
      <c r="G61" s="5" t="n">
        <v>7640</v>
      </c>
      <c r="H61" s="5" t="n">
        <v>61120</v>
      </c>
      <c r="I61" s="5" t="n">
        <v>51409.1</v>
      </c>
    </row>
    <row r="62" customFormat="false" ht="15" hidden="false" customHeight="false" outlineLevel="0" collapsed="false">
      <c r="A62" s="6" t="s">
        <v>94</v>
      </c>
      <c r="B62" s="6" t="s">
        <v>89</v>
      </c>
      <c r="C62" s="6" t="s">
        <v>22</v>
      </c>
      <c r="D62" s="7" t="s">
        <v>23</v>
      </c>
      <c r="E62" s="7" t="s">
        <v>37</v>
      </c>
      <c r="F62" s="6" t="n">
        <v>6</v>
      </c>
      <c r="G62" s="8" t="n">
        <v>7389</v>
      </c>
      <c r="H62" s="8" t="n">
        <v>44334</v>
      </c>
      <c r="I62" s="8" t="n">
        <v>51097.88</v>
      </c>
    </row>
    <row r="63" customFormat="false" ht="15" hidden="false" customHeight="false" outlineLevel="0" collapsed="false">
      <c r="A63" s="3" t="s">
        <v>95</v>
      </c>
      <c r="B63" s="3" t="s">
        <v>89</v>
      </c>
      <c r="C63" s="3" t="s">
        <v>12</v>
      </c>
      <c r="D63" s="4" t="s">
        <v>13</v>
      </c>
      <c r="E63" s="4" t="s">
        <v>39</v>
      </c>
      <c r="F63" s="3" t="n">
        <v>14</v>
      </c>
      <c r="G63" s="5" t="n">
        <v>741</v>
      </c>
      <c r="H63" s="5" t="n">
        <v>10374</v>
      </c>
      <c r="I63" s="5" t="n">
        <v>11884.72</v>
      </c>
    </row>
    <row r="64" customFormat="false" ht="15" hidden="false" customHeight="false" outlineLevel="0" collapsed="false">
      <c r="A64" s="6" t="s">
        <v>96</v>
      </c>
      <c r="B64" s="6" t="s">
        <v>89</v>
      </c>
      <c r="C64" s="6" t="s">
        <v>18</v>
      </c>
      <c r="D64" s="7" t="s">
        <v>64</v>
      </c>
      <c r="E64" s="7" t="s">
        <v>97</v>
      </c>
      <c r="F64" s="6" t="n">
        <v>4</v>
      </c>
      <c r="G64" s="8" t="n">
        <v>4994</v>
      </c>
      <c r="H64" s="8" t="n">
        <v>19976</v>
      </c>
      <c r="I64" s="8" t="n">
        <v>22949.76</v>
      </c>
    </row>
    <row r="65" customFormat="false" ht="15" hidden="false" customHeight="false" outlineLevel="0" collapsed="false">
      <c r="A65" s="3" t="s">
        <v>98</v>
      </c>
      <c r="B65" s="3" t="s">
        <v>89</v>
      </c>
      <c r="C65" s="3" t="s">
        <v>22</v>
      </c>
      <c r="D65" s="4" t="s">
        <v>23</v>
      </c>
      <c r="E65" s="4" t="s">
        <v>37</v>
      </c>
      <c r="F65" s="3" t="n">
        <v>15</v>
      </c>
      <c r="G65" s="5" t="n">
        <v>7478</v>
      </c>
      <c r="H65" s="5" t="n">
        <v>112170</v>
      </c>
      <c r="I65" s="5" t="n">
        <v>103429.3</v>
      </c>
    </row>
    <row r="66" customFormat="false" ht="15" hidden="false" customHeight="false" outlineLevel="0" collapsed="false">
      <c r="A66" s="6" t="s">
        <v>99</v>
      </c>
      <c r="B66" s="6" t="s">
        <v>89</v>
      </c>
      <c r="C66" s="6" t="s">
        <v>18</v>
      </c>
      <c r="D66" s="7" t="s">
        <v>19</v>
      </c>
      <c r="E66" s="7" t="s">
        <v>33</v>
      </c>
      <c r="F66" s="6" t="n">
        <v>7</v>
      </c>
      <c r="G66" s="8" t="n">
        <v>10003</v>
      </c>
      <c r="H66" s="8" t="n">
        <v>70021</v>
      </c>
      <c r="I66" s="8" t="n">
        <v>65210.89</v>
      </c>
    </row>
    <row r="67" customFormat="false" ht="15" hidden="false" customHeight="false" outlineLevel="0" collapsed="false">
      <c r="A67" s="3" t="s">
        <v>100</v>
      </c>
      <c r="B67" s="3" t="s">
        <v>89</v>
      </c>
      <c r="C67" s="3" t="s">
        <v>12</v>
      </c>
      <c r="D67" s="4" t="s">
        <v>55</v>
      </c>
      <c r="E67" s="4" t="s">
        <v>39</v>
      </c>
      <c r="F67" s="3" t="n">
        <v>17</v>
      </c>
      <c r="G67" s="5" t="n">
        <v>603</v>
      </c>
      <c r="H67" s="5" t="n">
        <v>10251</v>
      </c>
      <c r="I67" s="5" t="n">
        <v>10987.1</v>
      </c>
    </row>
    <row r="68" customFormat="false" ht="15" hidden="false" customHeight="false" outlineLevel="0" collapsed="false">
      <c r="A68" s="6" t="s">
        <v>101</v>
      </c>
      <c r="B68" s="6" t="s">
        <v>89</v>
      </c>
      <c r="C68" s="6" t="s">
        <v>28</v>
      </c>
      <c r="D68" s="7" t="s">
        <v>29</v>
      </c>
      <c r="E68" s="7" t="s">
        <v>30</v>
      </c>
      <c r="F68" s="6" t="n">
        <v>9</v>
      </c>
      <c r="G68" s="8" t="n">
        <v>6890</v>
      </c>
      <c r="H68" s="8" t="n">
        <v>62010</v>
      </c>
      <c r="I68" s="8" t="n">
        <v>64008.95</v>
      </c>
    </row>
    <row r="69" customFormat="false" ht="15" hidden="false" customHeight="false" outlineLevel="0" collapsed="false">
      <c r="A69" s="3" t="s">
        <v>102</v>
      </c>
      <c r="B69" s="3" t="s">
        <v>89</v>
      </c>
      <c r="C69" s="3" t="s">
        <v>28</v>
      </c>
      <c r="D69" s="4" t="s">
        <v>29</v>
      </c>
      <c r="E69" s="4" t="s">
        <v>30</v>
      </c>
      <c r="F69" s="3" t="n">
        <v>20</v>
      </c>
      <c r="G69" s="5" t="n">
        <v>7021</v>
      </c>
      <c r="H69" s="5" t="n">
        <v>140420</v>
      </c>
      <c r="I69" s="5" t="n">
        <v>131752.55</v>
      </c>
    </row>
    <row r="70" customFormat="false" ht="15" hidden="false" customHeight="false" outlineLevel="0" collapsed="false">
      <c r="A70" s="6" t="s">
        <v>103</v>
      </c>
      <c r="B70" s="6" t="s">
        <v>89</v>
      </c>
      <c r="C70" s="6" t="s">
        <v>28</v>
      </c>
      <c r="D70" s="7" t="s">
        <v>32</v>
      </c>
      <c r="E70" s="7" t="s">
        <v>16</v>
      </c>
      <c r="F70" s="6" t="n">
        <v>17</v>
      </c>
      <c r="G70" s="8" t="n">
        <v>1358</v>
      </c>
      <c r="H70" s="8" t="n">
        <v>23086</v>
      </c>
      <c r="I70" s="8" t="n">
        <v>22025.85</v>
      </c>
    </row>
    <row r="71" customFormat="false" ht="15" hidden="false" customHeight="false" outlineLevel="0" collapsed="false">
      <c r="A71" s="3" t="s">
        <v>104</v>
      </c>
      <c r="B71" s="3" t="s">
        <v>89</v>
      </c>
      <c r="C71" s="3" t="s">
        <v>18</v>
      </c>
      <c r="D71" s="4" t="s">
        <v>64</v>
      </c>
      <c r="E71" s="4" t="s">
        <v>33</v>
      </c>
      <c r="F71" s="3" t="n">
        <v>14</v>
      </c>
      <c r="G71" s="5" t="n">
        <v>9799</v>
      </c>
      <c r="H71" s="5" t="n">
        <v>137186</v>
      </c>
      <c r="I71" s="5" t="n">
        <v>138279.12</v>
      </c>
    </row>
    <row r="72" customFormat="false" ht="15" hidden="false" customHeight="false" outlineLevel="0" collapsed="false">
      <c r="A72" s="6" t="s">
        <v>105</v>
      </c>
      <c r="B72" s="6" t="s">
        <v>89</v>
      </c>
      <c r="C72" s="6" t="s">
        <v>18</v>
      </c>
      <c r="D72" s="7" t="s">
        <v>64</v>
      </c>
      <c r="E72" s="7" t="s">
        <v>26</v>
      </c>
      <c r="F72" s="6" t="n">
        <v>3</v>
      </c>
      <c r="G72" s="8" t="n">
        <v>2639</v>
      </c>
      <c r="H72" s="8" t="n">
        <v>7917</v>
      </c>
      <c r="I72" s="8" t="n">
        <v>9249.5</v>
      </c>
    </row>
    <row r="73" customFormat="false" ht="15" hidden="false" customHeight="false" outlineLevel="0" collapsed="false">
      <c r="A73" s="3" t="s">
        <v>106</v>
      </c>
      <c r="B73" s="3" t="s">
        <v>89</v>
      </c>
      <c r="C73" s="3" t="s">
        <v>28</v>
      </c>
      <c r="D73" s="4" t="s">
        <v>29</v>
      </c>
      <c r="E73" s="4" t="s">
        <v>14</v>
      </c>
      <c r="F73" s="3" t="n">
        <v>17</v>
      </c>
      <c r="G73" s="5" t="n">
        <v>957</v>
      </c>
      <c r="H73" s="5" t="n">
        <v>16269</v>
      </c>
      <c r="I73" s="5" t="n">
        <v>17355.07</v>
      </c>
    </row>
    <row r="74" customFormat="false" ht="15" hidden="false" customHeight="false" outlineLevel="0" collapsed="false">
      <c r="A74" s="6" t="s">
        <v>107</v>
      </c>
      <c r="B74" s="6" t="s">
        <v>89</v>
      </c>
      <c r="C74" s="6" t="s">
        <v>28</v>
      </c>
      <c r="D74" s="7" t="s">
        <v>32</v>
      </c>
      <c r="E74" s="7" t="s">
        <v>14</v>
      </c>
      <c r="F74" s="6" t="n">
        <v>18</v>
      </c>
      <c r="G74" s="8" t="n">
        <v>864</v>
      </c>
      <c r="H74" s="8" t="n">
        <v>15552</v>
      </c>
      <c r="I74" s="8" t="n">
        <v>13635</v>
      </c>
    </row>
    <row r="75" customFormat="false" ht="15" hidden="false" customHeight="false" outlineLevel="0" collapsed="false">
      <c r="A75" s="3" t="s">
        <v>108</v>
      </c>
      <c r="B75" s="3" t="s">
        <v>109</v>
      </c>
      <c r="C75" s="3" t="s">
        <v>22</v>
      </c>
      <c r="D75" s="4" t="s">
        <v>23</v>
      </c>
      <c r="E75" s="4" t="s">
        <v>16</v>
      </c>
      <c r="F75" s="3" t="n">
        <v>19</v>
      </c>
      <c r="G75" s="5" t="n">
        <v>1453</v>
      </c>
      <c r="H75" s="5" t="n">
        <v>27607</v>
      </c>
      <c r="I75" s="5" t="n">
        <v>26569.81</v>
      </c>
    </row>
    <row r="76" customFormat="false" ht="15" hidden="false" customHeight="false" outlineLevel="0" collapsed="false">
      <c r="A76" s="6" t="s">
        <v>110</v>
      </c>
      <c r="B76" s="6" t="s">
        <v>109</v>
      </c>
      <c r="C76" s="6" t="s">
        <v>12</v>
      </c>
      <c r="D76" s="7" t="s">
        <v>55</v>
      </c>
      <c r="E76" s="7" t="s">
        <v>14</v>
      </c>
      <c r="F76" s="6" t="n">
        <v>7</v>
      </c>
      <c r="G76" s="8" t="n">
        <v>1019</v>
      </c>
      <c r="H76" s="8" t="n">
        <v>7133</v>
      </c>
      <c r="I76" s="8" t="n">
        <v>7948.33</v>
      </c>
    </row>
    <row r="77" customFormat="false" ht="15" hidden="false" customHeight="false" outlineLevel="0" collapsed="false">
      <c r="A77" s="3" t="s">
        <v>111</v>
      </c>
      <c r="B77" s="3" t="s">
        <v>109</v>
      </c>
      <c r="C77" s="3" t="s">
        <v>28</v>
      </c>
      <c r="D77" s="4" t="s">
        <v>32</v>
      </c>
      <c r="E77" s="4" t="s">
        <v>24</v>
      </c>
      <c r="F77" s="3" t="n">
        <v>15</v>
      </c>
      <c r="G77" s="5" t="n">
        <v>6144</v>
      </c>
      <c r="H77" s="5" t="n">
        <v>92160</v>
      </c>
      <c r="I77" s="5" t="n">
        <v>81605.89</v>
      </c>
    </row>
    <row r="78" customFormat="false" ht="15" hidden="false" customHeight="false" outlineLevel="0" collapsed="false">
      <c r="A78" s="6" t="s">
        <v>112</v>
      </c>
      <c r="B78" s="6" t="s">
        <v>109</v>
      </c>
      <c r="C78" s="6" t="s">
        <v>22</v>
      </c>
      <c r="D78" s="7" t="s">
        <v>23</v>
      </c>
      <c r="E78" s="7" t="s">
        <v>30</v>
      </c>
      <c r="F78" s="6" t="n">
        <v>10</v>
      </c>
      <c r="G78" s="8" t="n">
        <v>7062</v>
      </c>
      <c r="H78" s="8" t="n">
        <v>70620</v>
      </c>
      <c r="I78" s="8" t="n">
        <v>75248.54</v>
      </c>
    </row>
    <row r="79" customFormat="false" ht="15" hidden="false" customHeight="false" outlineLevel="0" collapsed="false">
      <c r="A79" s="3" t="s">
        <v>113</v>
      </c>
      <c r="B79" s="3" t="s">
        <v>109</v>
      </c>
      <c r="C79" s="3" t="s">
        <v>28</v>
      </c>
      <c r="D79" s="4" t="s">
        <v>29</v>
      </c>
      <c r="E79" s="4" t="s">
        <v>37</v>
      </c>
      <c r="F79" s="3" t="n">
        <v>10</v>
      </c>
      <c r="G79" s="5" t="n">
        <v>7414</v>
      </c>
      <c r="H79" s="5" t="n">
        <v>74140</v>
      </c>
      <c r="I79" s="5" t="n">
        <v>83231.43</v>
      </c>
    </row>
    <row r="80" customFormat="false" ht="15" hidden="false" customHeight="false" outlineLevel="0" collapsed="false">
      <c r="A80" s="6" t="s">
        <v>114</v>
      </c>
      <c r="B80" s="6" t="s">
        <v>109</v>
      </c>
      <c r="C80" s="6" t="s">
        <v>18</v>
      </c>
      <c r="D80" s="7" t="s">
        <v>19</v>
      </c>
      <c r="E80" s="7" t="s">
        <v>33</v>
      </c>
      <c r="F80" s="6" t="n">
        <v>8</v>
      </c>
      <c r="G80" s="8" t="n">
        <v>10042</v>
      </c>
      <c r="H80" s="8" t="n">
        <v>80336</v>
      </c>
      <c r="I80" s="8" t="n">
        <v>83911.72</v>
      </c>
    </row>
    <row r="81" customFormat="false" ht="15" hidden="false" customHeight="false" outlineLevel="0" collapsed="false">
      <c r="A81" s="3" t="s">
        <v>115</v>
      </c>
      <c r="B81" s="3" t="s">
        <v>109</v>
      </c>
      <c r="C81" s="3" t="s">
        <v>12</v>
      </c>
      <c r="D81" s="4" t="s">
        <v>55</v>
      </c>
      <c r="E81" s="4" t="s">
        <v>26</v>
      </c>
      <c r="F81" s="3" t="n">
        <v>19</v>
      </c>
      <c r="G81" s="5" t="n">
        <v>2398</v>
      </c>
      <c r="H81" s="5" t="n">
        <v>45562</v>
      </c>
      <c r="I81" s="5" t="n">
        <v>49541.31</v>
      </c>
    </row>
    <row r="82" customFormat="false" ht="15" hidden="false" customHeight="false" outlineLevel="0" collapsed="false">
      <c r="A82" s="6" t="s">
        <v>116</v>
      </c>
      <c r="B82" s="6" t="s">
        <v>109</v>
      </c>
      <c r="C82" s="6" t="s">
        <v>22</v>
      </c>
      <c r="D82" s="7" t="s">
        <v>46</v>
      </c>
      <c r="E82" s="7" t="s">
        <v>26</v>
      </c>
      <c r="F82" s="6" t="n">
        <v>8</v>
      </c>
      <c r="G82" s="8" t="n">
        <v>2374</v>
      </c>
      <c r="H82" s="8" t="n">
        <v>18992</v>
      </c>
      <c r="I82" s="8" t="n">
        <v>20177.54</v>
      </c>
    </row>
    <row r="83" customFormat="false" ht="15" hidden="false" customHeight="false" outlineLevel="0" collapsed="false">
      <c r="A83" s="3" t="s">
        <v>117</v>
      </c>
      <c r="B83" s="3" t="s">
        <v>109</v>
      </c>
      <c r="C83" s="3" t="s">
        <v>12</v>
      </c>
      <c r="D83" s="4" t="s">
        <v>13</v>
      </c>
      <c r="E83" s="4" t="s">
        <v>26</v>
      </c>
      <c r="F83" s="3" t="n">
        <v>8</v>
      </c>
      <c r="G83" s="5" t="n">
        <v>2389</v>
      </c>
      <c r="H83" s="5" t="n">
        <v>19112</v>
      </c>
      <c r="I83" s="5" t="n">
        <v>21436.86</v>
      </c>
    </row>
    <row r="84" customFormat="false" ht="15" hidden="false" customHeight="false" outlineLevel="0" collapsed="false">
      <c r="A84" s="6" t="s">
        <v>118</v>
      </c>
      <c r="B84" s="6" t="s">
        <v>109</v>
      </c>
      <c r="C84" s="6" t="s">
        <v>22</v>
      </c>
      <c r="D84" s="7" t="s">
        <v>23</v>
      </c>
      <c r="E84" s="7" t="s">
        <v>20</v>
      </c>
      <c r="F84" s="6" t="n">
        <v>8</v>
      </c>
      <c r="G84" s="8" t="n">
        <v>1861</v>
      </c>
      <c r="H84" s="8" t="n">
        <v>14888</v>
      </c>
      <c r="I84" s="8" t="n">
        <v>14628.72</v>
      </c>
    </row>
    <row r="85" customFormat="false" ht="15" hidden="false" customHeight="false" outlineLevel="0" collapsed="false">
      <c r="A85" s="3" t="s">
        <v>119</v>
      </c>
      <c r="B85" s="3" t="s">
        <v>109</v>
      </c>
      <c r="C85" s="3" t="s">
        <v>22</v>
      </c>
      <c r="D85" s="4" t="s">
        <v>46</v>
      </c>
      <c r="E85" s="4" t="s">
        <v>24</v>
      </c>
      <c r="F85" s="3" t="n">
        <v>20</v>
      </c>
      <c r="G85" s="5" t="n">
        <v>6167</v>
      </c>
      <c r="H85" s="5" t="n">
        <v>123340</v>
      </c>
      <c r="I85" s="5" t="n">
        <v>142680.71</v>
      </c>
    </row>
    <row r="86" customFormat="false" ht="15" hidden="false" customHeight="false" outlineLevel="0" collapsed="false">
      <c r="A86" s="6" t="s">
        <v>120</v>
      </c>
      <c r="B86" s="6" t="s">
        <v>109</v>
      </c>
      <c r="C86" s="6" t="s">
        <v>22</v>
      </c>
      <c r="D86" s="7" t="s">
        <v>46</v>
      </c>
      <c r="E86" s="7" t="s">
        <v>97</v>
      </c>
      <c r="F86" s="6" t="n">
        <v>16</v>
      </c>
      <c r="G86" s="8" t="n">
        <v>5029</v>
      </c>
      <c r="H86" s="8" t="n">
        <v>80464</v>
      </c>
      <c r="I86" s="8" t="n">
        <v>72713.44</v>
      </c>
    </row>
    <row r="87" customFormat="false" ht="15" hidden="false" customHeight="false" outlineLevel="0" collapsed="false">
      <c r="A87" s="3" t="s">
        <v>121</v>
      </c>
      <c r="B87" s="3" t="s">
        <v>109</v>
      </c>
      <c r="C87" s="3" t="s">
        <v>18</v>
      </c>
      <c r="D87" s="4" t="s">
        <v>64</v>
      </c>
      <c r="E87" s="4" t="s">
        <v>20</v>
      </c>
      <c r="F87" s="3" t="n">
        <v>16</v>
      </c>
      <c r="G87" s="5" t="n">
        <v>2119</v>
      </c>
      <c r="H87" s="5" t="n">
        <v>33904</v>
      </c>
      <c r="I87" s="5" t="n">
        <v>30367.76</v>
      </c>
    </row>
    <row r="88" customFormat="false" ht="15" hidden="false" customHeight="false" outlineLevel="0" collapsed="false">
      <c r="A88" s="6" t="s">
        <v>122</v>
      </c>
      <c r="B88" s="6" t="s">
        <v>109</v>
      </c>
      <c r="C88" s="6" t="s">
        <v>22</v>
      </c>
      <c r="D88" s="7" t="s">
        <v>23</v>
      </c>
      <c r="E88" s="7" t="s">
        <v>14</v>
      </c>
      <c r="F88" s="6" t="n">
        <v>8</v>
      </c>
      <c r="G88" s="8" t="n">
        <v>938</v>
      </c>
      <c r="H88" s="8" t="n">
        <v>7504</v>
      </c>
      <c r="I88" s="8" t="n">
        <v>7011.28</v>
      </c>
    </row>
    <row r="89" customFormat="false" ht="15" hidden="false" customHeight="false" outlineLevel="0" collapsed="false">
      <c r="A89" s="3" t="s">
        <v>123</v>
      </c>
      <c r="B89" s="3" t="s">
        <v>109</v>
      </c>
      <c r="C89" s="3" t="s">
        <v>12</v>
      </c>
      <c r="D89" s="4" t="s">
        <v>13</v>
      </c>
      <c r="E89" s="4" t="s">
        <v>97</v>
      </c>
      <c r="F89" s="3" t="n">
        <v>8</v>
      </c>
      <c r="G89" s="5" t="n">
        <v>4995</v>
      </c>
      <c r="H89" s="5" t="n">
        <v>39960</v>
      </c>
      <c r="I89" s="5" t="n">
        <v>43060.09</v>
      </c>
    </row>
    <row r="90" customFormat="false" ht="15" hidden="false" customHeight="false" outlineLevel="0" collapsed="false">
      <c r="A90" s="6" t="s">
        <v>124</v>
      </c>
      <c r="B90" s="6" t="s">
        <v>109</v>
      </c>
      <c r="C90" s="6" t="s">
        <v>18</v>
      </c>
      <c r="D90" s="7" t="s">
        <v>19</v>
      </c>
      <c r="E90" s="7" t="s">
        <v>26</v>
      </c>
      <c r="F90" s="6" t="n">
        <v>14</v>
      </c>
      <c r="G90" s="8" t="n">
        <v>2468</v>
      </c>
      <c r="H90" s="8" t="n">
        <v>34552</v>
      </c>
      <c r="I90" s="8" t="n">
        <v>35140.92</v>
      </c>
    </row>
    <row r="91" customFormat="false" ht="15" hidden="false" customHeight="false" outlineLevel="0" collapsed="false">
      <c r="A91" s="3" t="s">
        <v>125</v>
      </c>
      <c r="B91" s="3" t="s">
        <v>109</v>
      </c>
      <c r="C91" s="3" t="s">
        <v>22</v>
      </c>
      <c r="D91" s="4" t="s">
        <v>23</v>
      </c>
      <c r="E91" s="4" t="s">
        <v>37</v>
      </c>
      <c r="F91" s="3" t="n">
        <v>14</v>
      </c>
      <c r="G91" s="5" t="n">
        <v>7498</v>
      </c>
      <c r="H91" s="5" t="n">
        <v>104972</v>
      </c>
      <c r="I91" s="5" t="n">
        <v>121970.68</v>
      </c>
    </row>
    <row r="92" customFormat="false" ht="15" hidden="false" customHeight="false" outlineLevel="0" collapsed="false">
      <c r="A92" s="6" t="s">
        <v>126</v>
      </c>
      <c r="B92" s="6" t="s">
        <v>109</v>
      </c>
      <c r="C92" s="6" t="s">
        <v>12</v>
      </c>
      <c r="D92" s="7" t="s">
        <v>55</v>
      </c>
      <c r="E92" s="7" t="s">
        <v>24</v>
      </c>
      <c r="F92" s="6" t="n">
        <v>1</v>
      </c>
      <c r="G92" s="8" t="n">
        <v>5979</v>
      </c>
      <c r="H92" s="8" t="n">
        <v>5979</v>
      </c>
      <c r="I92" s="8" t="n">
        <v>5497.36</v>
      </c>
    </row>
    <row r="93" customFormat="false" ht="15" hidden="false" customHeight="false" outlineLevel="0" collapsed="false">
      <c r="A93" s="3" t="s">
        <v>127</v>
      </c>
      <c r="B93" s="3" t="s">
        <v>128</v>
      </c>
      <c r="C93" s="3" t="s">
        <v>22</v>
      </c>
      <c r="D93" s="4" t="s">
        <v>46</v>
      </c>
      <c r="E93" s="4" t="s">
        <v>20</v>
      </c>
      <c r="F93" s="3" t="n">
        <v>18</v>
      </c>
      <c r="G93" s="5" t="n">
        <v>2107</v>
      </c>
      <c r="H93" s="5" t="n">
        <v>37926</v>
      </c>
      <c r="I93" s="5" t="n">
        <v>43960.96</v>
      </c>
    </row>
    <row r="94" customFormat="false" ht="15" hidden="false" customHeight="false" outlineLevel="0" collapsed="false">
      <c r="A94" s="6" t="s">
        <v>129</v>
      </c>
      <c r="B94" s="6" t="s">
        <v>128</v>
      </c>
      <c r="C94" s="6" t="s">
        <v>22</v>
      </c>
      <c r="D94" s="7" t="s">
        <v>23</v>
      </c>
      <c r="E94" s="7" t="s">
        <v>14</v>
      </c>
      <c r="F94" s="6" t="n">
        <v>14</v>
      </c>
      <c r="G94" s="8" t="n">
        <v>1047</v>
      </c>
      <c r="H94" s="8" t="n">
        <v>14658</v>
      </c>
      <c r="I94" s="8" t="n">
        <v>11896.58</v>
      </c>
    </row>
    <row r="95" customFormat="false" ht="15" hidden="false" customHeight="false" outlineLevel="0" collapsed="false">
      <c r="A95" s="3" t="s">
        <v>130</v>
      </c>
      <c r="B95" s="3" t="s">
        <v>128</v>
      </c>
      <c r="C95" s="3" t="s">
        <v>28</v>
      </c>
      <c r="D95" s="4" t="s">
        <v>32</v>
      </c>
      <c r="E95" s="4" t="s">
        <v>97</v>
      </c>
      <c r="F95" s="3" t="n">
        <v>15</v>
      </c>
      <c r="G95" s="5" t="n">
        <v>4864</v>
      </c>
      <c r="H95" s="5" t="n">
        <v>72960</v>
      </c>
      <c r="I95" s="5" t="n">
        <v>86989.39</v>
      </c>
    </row>
    <row r="96" customFormat="false" ht="15" hidden="false" customHeight="false" outlineLevel="0" collapsed="false">
      <c r="A96" s="6" t="s">
        <v>131</v>
      </c>
      <c r="B96" s="6" t="s">
        <v>128</v>
      </c>
      <c r="C96" s="6" t="s">
        <v>12</v>
      </c>
      <c r="D96" s="7" t="s">
        <v>55</v>
      </c>
      <c r="E96" s="7" t="s">
        <v>16</v>
      </c>
      <c r="F96" s="6" t="n">
        <v>19</v>
      </c>
      <c r="G96" s="8" t="n">
        <v>1638</v>
      </c>
      <c r="H96" s="8" t="n">
        <v>31122</v>
      </c>
      <c r="I96" s="8" t="n">
        <v>25234.99</v>
      </c>
    </row>
    <row r="97" customFormat="false" ht="15" hidden="false" customHeight="false" outlineLevel="0" collapsed="false">
      <c r="A97" s="3" t="s">
        <v>132</v>
      </c>
      <c r="B97" s="3" t="s">
        <v>128</v>
      </c>
      <c r="C97" s="3" t="s">
        <v>22</v>
      </c>
      <c r="D97" s="4" t="s">
        <v>23</v>
      </c>
      <c r="E97" s="4" t="s">
        <v>24</v>
      </c>
      <c r="F97" s="3" t="n">
        <v>6</v>
      </c>
      <c r="G97" s="5" t="n">
        <v>5824</v>
      </c>
      <c r="H97" s="5" t="n">
        <v>34944</v>
      </c>
      <c r="I97" s="5" t="n">
        <v>31591.56</v>
      </c>
    </row>
    <row r="98" customFormat="false" ht="15" hidden="false" customHeight="false" outlineLevel="0" collapsed="false">
      <c r="A98" s="6" t="s">
        <v>133</v>
      </c>
      <c r="B98" s="6" t="s">
        <v>128</v>
      </c>
      <c r="C98" s="6" t="s">
        <v>28</v>
      </c>
      <c r="D98" s="7" t="s">
        <v>29</v>
      </c>
      <c r="E98" s="7" t="s">
        <v>24</v>
      </c>
      <c r="F98" s="6" t="n">
        <v>11</v>
      </c>
      <c r="G98" s="8" t="n">
        <v>5971</v>
      </c>
      <c r="H98" s="8" t="n">
        <v>65681</v>
      </c>
      <c r="I98" s="8" t="n">
        <v>72544.13</v>
      </c>
    </row>
    <row r="99" customFormat="false" ht="15" hidden="false" customHeight="false" outlineLevel="0" collapsed="false">
      <c r="A99" s="3" t="s">
        <v>134</v>
      </c>
      <c r="B99" s="3" t="s">
        <v>128</v>
      </c>
      <c r="C99" s="3" t="s">
        <v>22</v>
      </c>
      <c r="D99" s="4" t="s">
        <v>46</v>
      </c>
      <c r="E99" s="4" t="s">
        <v>26</v>
      </c>
      <c r="F99" s="3" t="n">
        <v>9</v>
      </c>
      <c r="G99" s="5" t="n">
        <v>2340</v>
      </c>
      <c r="H99" s="5" t="n">
        <v>21060</v>
      </c>
      <c r="I99" s="5" t="n">
        <v>20809.86</v>
      </c>
    </row>
    <row r="100" customFormat="false" ht="15" hidden="false" customHeight="false" outlineLevel="0" collapsed="false">
      <c r="A100" s="6" t="s">
        <v>135</v>
      </c>
      <c r="B100" s="6" t="s">
        <v>128</v>
      </c>
      <c r="C100" s="6" t="s">
        <v>12</v>
      </c>
      <c r="D100" s="7" t="s">
        <v>55</v>
      </c>
      <c r="E100" s="7" t="s">
        <v>37</v>
      </c>
      <c r="F100" s="6" t="n">
        <v>3</v>
      </c>
      <c r="G100" s="8" t="n">
        <v>7698</v>
      </c>
      <c r="H100" s="8" t="n">
        <v>23094</v>
      </c>
      <c r="I100" s="8" t="n">
        <v>27318.22</v>
      </c>
    </row>
    <row r="101" customFormat="false" ht="15" hidden="false" customHeight="false" outlineLevel="0" collapsed="false">
      <c r="A101" s="3" t="s">
        <v>136</v>
      </c>
      <c r="B101" s="3" t="s">
        <v>128</v>
      </c>
      <c r="C101" s="3" t="s">
        <v>12</v>
      </c>
      <c r="D101" s="4" t="s">
        <v>13</v>
      </c>
      <c r="E101" s="4" t="s">
        <v>37</v>
      </c>
      <c r="F101" s="3" t="n">
        <v>7</v>
      </c>
      <c r="G101" s="5" t="n">
        <v>7309</v>
      </c>
      <c r="H101" s="5" t="n">
        <v>51163</v>
      </c>
      <c r="I101" s="5" t="n">
        <v>53646.16</v>
      </c>
    </row>
    <row r="102" customFormat="false" ht="15" hidden="false" customHeight="false" outlineLevel="0" collapsed="false">
      <c r="A102" s="6" t="s">
        <v>137</v>
      </c>
      <c r="B102" s="6" t="s">
        <v>128</v>
      </c>
      <c r="C102" s="6" t="s">
        <v>18</v>
      </c>
      <c r="D102" s="7" t="s">
        <v>19</v>
      </c>
      <c r="E102" s="7" t="s">
        <v>24</v>
      </c>
      <c r="F102" s="6" t="n">
        <v>4</v>
      </c>
      <c r="G102" s="8" t="n">
        <v>6087</v>
      </c>
      <c r="H102" s="8" t="n">
        <v>24348</v>
      </c>
      <c r="I102" s="8" t="n">
        <v>28708.8</v>
      </c>
    </row>
    <row r="103" customFormat="false" ht="15" hidden="false" customHeight="false" outlineLevel="0" collapsed="false">
      <c r="A103" s="3" t="s">
        <v>138</v>
      </c>
      <c r="B103" s="3" t="s">
        <v>128</v>
      </c>
      <c r="C103" s="3" t="s">
        <v>22</v>
      </c>
      <c r="D103" s="4" t="s">
        <v>46</v>
      </c>
      <c r="E103" s="4" t="s">
        <v>39</v>
      </c>
      <c r="F103" s="3" t="n">
        <v>6</v>
      </c>
      <c r="G103" s="5" t="n">
        <v>709</v>
      </c>
      <c r="H103" s="5" t="n">
        <v>4254</v>
      </c>
      <c r="I103" s="5" t="n">
        <v>4436.49</v>
      </c>
    </row>
    <row r="104" customFormat="false" ht="15" hidden="false" customHeight="false" outlineLevel="0" collapsed="false">
      <c r="A104" s="6" t="s">
        <v>139</v>
      </c>
      <c r="B104" s="6" t="s">
        <v>128</v>
      </c>
      <c r="C104" s="6" t="s">
        <v>12</v>
      </c>
      <c r="D104" s="7" t="s">
        <v>13</v>
      </c>
      <c r="E104" s="7" t="s">
        <v>14</v>
      </c>
      <c r="F104" s="6" t="n">
        <v>4</v>
      </c>
      <c r="G104" s="8" t="n">
        <v>1095</v>
      </c>
      <c r="H104" s="8" t="n">
        <v>4380</v>
      </c>
      <c r="I104" s="8" t="n">
        <v>3548.99</v>
      </c>
    </row>
    <row r="105" customFormat="false" ht="15" hidden="false" customHeight="false" outlineLevel="0" collapsed="false">
      <c r="A105" s="3" t="s">
        <v>140</v>
      </c>
      <c r="B105" s="3" t="s">
        <v>128</v>
      </c>
      <c r="C105" s="3" t="s">
        <v>28</v>
      </c>
      <c r="D105" s="4" t="s">
        <v>32</v>
      </c>
      <c r="E105" s="4" t="s">
        <v>26</v>
      </c>
      <c r="F105" s="3" t="n">
        <v>7</v>
      </c>
      <c r="G105" s="5" t="n">
        <v>2337</v>
      </c>
      <c r="H105" s="5" t="n">
        <v>16359</v>
      </c>
      <c r="I105" s="5" t="n">
        <v>16961.65</v>
      </c>
    </row>
    <row r="106" customFormat="false" ht="15" hidden="false" customHeight="false" outlineLevel="0" collapsed="false">
      <c r="A106" s="6" t="s">
        <v>141</v>
      </c>
      <c r="B106" s="6" t="s">
        <v>128</v>
      </c>
      <c r="C106" s="6" t="s">
        <v>18</v>
      </c>
      <c r="D106" s="7" t="s">
        <v>19</v>
      </c>
      <c r="E106" s="7" t="s">
        <v>14</v>
      </c>
      <c r="F106" s="6" t="n">
        <v>20</v>
      </c>
      <c r="G106" s="8" t="n">
        <v>860</v>
      </c>
      <c r="H106" s="8" t="n">
        <v>17200</v>
      </c>
      <c r="I106" s="8" t="n">
        <v>19238.04</v>
      </c>
    </row>
    <row r="107" customFormat="false" ht="15" hidden="false" customHeight="false" outlineLevel="0" collapsed="false">
      <c r="A107" s="3" t="s">
        <v>142</v>
      </c>
      <c r="B107" s="3" t="s">
        <v>128</v>
      </c>
      <c r="C107" s="3" t="s">
        <v>12</v>
      </c>
      <c r="D107" s="4" t="s">
        <v>55</v>
      </c>
      <c r="E107" s="4" t="s">
        <v>20</v>
      </c>
      <c r="F107" s="3" t="n">
        <v>14</v>
      </c>
      <c r="G107" s="5" t="n">
        <v>2137</v>
      </c>
      <c r="H107" s="5" t="n">
        <v>29918</v>
      </c>
      <c r="I107" s="5" t="n">
        <v>28369.1</v>
      </c>
    </row>
    <row r="108" customFormat="false" ht="15" hidden="false" customHeight="false" outlineLevel="0" collapsed="false">
      <c r="A108" s="6" t="s">
        <v>143</v>
      </c>
      <c r="B108" s="6" t="s">
        <v>128</v>
      </c>
      <c r="C108" s="6" t="s">
        <v>28</v>
      </c>
      <c r="D108" s="7" t="s">
        <v>29</v>
      </c>
      <c r="E108" s="7" t="s">
        <v>26</v>
      </c>
      <c r="F108" s="6" t="n">
        <v>16</v>
      </c>
      <c r="G108" s="8" t="n">
        <v>2353</v>
      </c>
      <c r="H108" s="8" t="n">
        <v>37648</v>
      </c>
      <c r="I108" s="8" t="n">
        <v>36646.92</v>
      </c>
    </row>
    <row r="109" customFormat="false" ht="15" hidden="false" customHeight="false" outlineLevel="0" collapsed="false">
      <c r="A109" s="3" t="s">
        <v>144</v>
      </c>
      <c r="B109" s="3" t="s">
        <v>128</v>
      </c>
      <c r="C109" s="3" t="s">
        <v>28</v>
      </c>
      <c r="D109" s="4" t="s">
        <v>32</v>
      </c>
      <c r="E109" s="4" t="s">
        <v>97</v>
      </c>
      <c r="F109" s="3" t="n">
        <v>14</v>
      </c>
      <c r="G109" s="5" t="n">
        <v>4889</v>
      </c>
      <c r="H109" s="5" t="n">
        <v>68446</v>
      </c>
      <c r="I109" s="5" t="n">
        <v>74846.94</v>
      </c>
    </row>
    <row r="110" customFormat="false" ht="15" hidden="false" customHeight="false" outlineLevel="0" collapsed="false">
      <c r="A110" s="6" t="s">
        <v>145</v>
      </c>
      <c r="B110" s="6" t="s">
        <v>128</v>
      </c>
      <c r="C110" s="6" t="s">
        <v>28</v>
      </c>
      <c r="D110" s="7" t="s">
        <v>32</v>
      </c>
      <c r="E110" s="7" t="s">
        <v>24</v>
      </c>
      <c r="F110" s="6" t="n">
        <v>14</v>
      </c>
      <c r="G110" s="8" t="n">
        <v>6173</v>
      </c>
      <c r="H110" s="8" t="n">
        <v>86422</v>
      </c>
      <c r="I110" s="8" t="n">
        <v>89618.74</v>
      </c>
    </row>
    <row r="111" customFormat="false" ht="15" hidden="false" customHeight="false" outlineLevel="0" collapsed="false">
      <c r="A111" s="3" t="s">
        <v>146</v>
      </c>
      <c r="B111" s="3" t="s">
        <v>147</v>
      </c>
      <c r="C111" s="3" t="s">
        <v>28</v>
      </c>
      <c r="D111" s="4" t="s">
        <v>29</v>
      </c>
      <c r="E111" s="4" t="s">
        <v>30</v>
      </c>
      <c r="F111" s="3" t="n">
        <v>9</v>
      </c>
      <c r="G111" s="5" t="n">
        <v>7029</v>
      </c>
      <c r="H111" s="5" t="n">
        <v>63261</v>
      </c>
      <c r="I111" s="5" t="n">
        <v>56779.62</v>
      </c>
    </row>
    <row r="112" customFormat="false" ht="15" hidden="false" customHeight="false" outlineLevel="0" collapsed="false">
      <c r="A112" s="6" t="s">
        <v>148</v>
      </c>
      <c r="B112" s="6" t="s">
        <v>147</v>
      </c>
      <c r="C112" s="6" t="s">
        <v>22</v>
      </c>
      <c r="D112" s="7" t="s">
        <v>46</v>
      </c>
      <c r="E112" s="7" t="s">
        <v>39</v>
      </c>
      <c r="F112" s="6" t="n">
        <v>1</v>
      </c>
      <c r="G112" s="8" t="n">
        <v>652</v>
      </c>
      <c r="H112" s="8" t="n">
        <v>652</v>
      </c>
      <c r="I112" s="8" t="n">
        <v>743.53</v>
      </c>
    </row>
    <row r="113" customFormat="false" ht="15" hidden="false" customHeight="false" outlineLevel="0" collapsed="false">
      <c r="A113" s="3" t="s">
        <v>149</v>
      </c>
      <c r="B113" s="3" t="s">
        <v>147</v>
      </c>
      <c r="C113" s="3" t="s">
        <v>18</v>
      </c>
      <c r="D113" s="4" t="s">
        <v>64</v>
      </c>
      <c r="E113" s="4" t="s">
        <v>37</v>
      </c>
      <c r="F113" s="3" t="n">
        <v>12</v>
      </c>
      <c r="G113" s="5" t="n">
        <v>7431</v>
      </c>
      <c r="H113" s="5" t="n">
        <v>89172</v>
      </c>
      <c r="I113" s="5" t="n">
        <v>83477.08</v>
      </c>
    </row>
    <row r="114" customFormat="false" ht="15" hidden="false" customHeight="false" outlineLevel="0" collapsed="false">
      <c r="A114" s="6" t="s">
        <v>150</v>
      </c>
      <c r="B114" s="6" t="s">
        <v>147</v>
      </c>
      <c r="C114" s="6" t="s">
        <v>28</v>
      </c>
      <c r="D114" s="7" t="s">
        <v>29</v>
      </c>
      <c r="E114" s="7" t="s">
        <v>20</v>
      </c>
      <c r="F114" s="6" t="n">
        <v>7</v>
      </c>
      <c r="G114" s="8" t="n">
        <v>1842</v>
      </c>
      <c r="H114" s="8" t="n">
        <v>12894</v>
      </c>
      <c r="I114" s="8" t="n">
        <v>11560.02</v>
      </c>
    </row>
    <row r="115" customFormat="false" ht="15" hidden="false" customHeight="false" outlineLevel="0" collapsed="false">
      <c r="A115" s="3" t="s">
        <v>151</v>
      </c>
      <c r="B115" s="3" t="s">
        <v>147</v>
      </c>
      <c r="C115" s="3" t="s">
        <v>22</v>
      </c>
      <c r="D115" s="4" t="s">
        <v>46</v>
      </c>
      <c r="E115" s="4" t="s">
        <v>20</v>
      </c>
      <c r="F115" s="3" t="n">
        <v>8</v>
      </c>
      <c r="G115" s="5" t="n">
        <v>2152</v>
      </c>
      <c r="H115" s="5" t="n">
        <v>17216</v>
      </c>
      <c r="I115" s="5" t="n">
        <v>17051.37</v>
      </c>
    </row>
    <row r="116" customFormat="false" ht="15" hidden="false" customHeight="false" outlineLevel="0" collapsed="false">
      <c r="A116" s="6" t="s">
        <v>152</v>
      </c>
      <c r="B116" s="6" t="s">
        <v>147</v>
      </c>
      <c r="C116" s="6" t="s">
        <v>22</v>
      </c>
      <c r="D116" s="7" t="s">
        <v>46</v>
      </c>
      <c r="E116" s="7" t="s">
        <v>33</v>
      </c>
      <c r="F116" s="6" t="n">
        <v>3</v>
      </c>
      <c r="G116" s="8" t="n">
        <v>9949</v>
      </c>
      <c r="H116" s="8" t="n">
        <v>29847</v>
      </c>
      <c r="I116" s="8" t="n">
        <v>26523.2</v>
      </c>
    </row>
    <row r="117" customFormat="false" ht="15" hidden="false" customHeight="false" outlineLevel="0" collapsed="false">
      <c r="A117" s="3" t="s">
        <v>153</v>
      </c>
      <c r="B117" s="3" t="s">
        <v>147</v>
      </c>
      <c r="C117" s="3" t="s">
        <v>18</v>
      </c>
      <c r="D117" s="4" t="s">
        <v>64</v>
      </c>
      <c r="E117" s="4" t="s">
        <v>16</v>
      </c>
      <c r="F117" s="3" t="n">
        <v>12</v>
      </c>
      <c r="G117" s="5" t="n">
        <v>1541</v>
      </c>
      <c r="H117" s="5" t="n">
        <v>18492</v>
      </c>
      <c r="I117" s="5" t="n">
        <v>18887.53</v>
      </c>
    </row>
    <row r="118" customFormat="false" ht="15" hidden="false" customHeight="false" outlineLevel="0" collapsed="false">
      <c r="A118" s="6" t="s">
        <v>154</v>
      </c>
      <c r="B118" s="6" t="s">
        <v>147</v>
      </c>
      <c r="C118" s="6" t="s">
        <v>28</v>
      </c>
      <c r="D118" s="7" t="s">
        <v>32</v>
      </c>
      <c r="E118" s="7" t="s">
        <v>20</v>
      </c>
      <c r="F118" s="6" t="n">
        <v>11</v>
      </c>
      <c r="G118" s="8" t="n">
        <v>1979</v>
      </c>
      <c r="H118" s="8" t="n">
        <v>21769</v>
      </c>
      <c r="I118" s="8" t="n">
        <v>23535.38</v>
      </c>
    </row>
    <row r="119" customFormat="false" ht="15" hidden="false" customHeight="false" outlineLevel="0" collapsed="false">
      <c r="A119" s="3" t="s">
        <v>155</v>
      </c>
      <c r="B119" s="3" t="s">
        <v>147</v>
      </c>
      <c r="C119" s="3" t="s">
        <v>28</v>
      </c>
      <c r="D119" s="4" t="s">
        <v>32</v>
      </c>
      <c r="E119" s="4" t="s">
        <v>14</v>
      </c>
      <c r="F119" s="3" t="n">
        <v>8</v>
      </c>
      <c r="G119" s="5" t="n">
        <v>860</v>
      </c>
      <c r="H119" s="5" t="n">
        <v>6880</v>
      </c>
      <c r="I119" s="5" t="n">
        <v>7488.97</v>
      </c>
    </row>
    <row r="120" customFormat="false" ht="15" hidden="false" customHeight="false" outlineLevel="0" collapsed="false">
      <c r="A120" s="6" t="s">
        <v>156</v>
      </c>
      <c r="B120" s="6" t="s">
        <v>147</v>
      </c>
      <c r="C120" s="6" t="s">
        <v>28</v>
      </c>
      <c r="D120" s="7" t="s">
        <v>29</v>
      </c>
      <c r="E120" s="7" t="s">
        <v>20</v>
      </c>
      <c r="F120" s="6" t="n">
        <v>6</v>
      </c>
      <c r="G120" s="8" t="n">
        <v>1897</v>
      </c>
      <c r="H120" s="8" t="n">
        <v>11382</v>
      </c>
      <c r="I120" s="8" t="n">
        <v>10090.76</v>
      </c>
    </row>
    <row r="121" customFormat="false" ht="15" hidden="false" customHeight="false" outlineLevel="0" collapsed="false">
      <c r="A121" s="3" t="s">
        <v>157</v>
      </c>
      <c r="B121" s="3" t="s">
        <v>147</v>
      </c>
      <c r="C121" s="3" t="s">
        <v>22</v>
      </c>
      <c r="D121" s="4" t="s">
        <v>46</v>
      </c>
      <c r="E121" s="4" t="s">
        <v>16</v>
      </c>
      <c r="F121" s="3" t="n">
        <v>17</v>
      </c>
      <c r="G121" s="5" t="n">
        <v>1604</v>
      </c>
      <c r="H121" s="5" t="n">
        <v>27268</v>
      </c>
      <c r="I121" s="5" t="n">
        <v>24901.12</v>
      </c>
    </row>
    <row r="122" customFormat="false" ht="15" hidden="false" customHeight="false" outlineLevel="0" collapsed="false">
      <c r="A122" s="6" t="s">
        <v>158</v>
      </c>
      <c r="B122" s="6" t="s">
        <v>147</v>
      </c>
      <c r="C122" s="6" t="s">
        <v>12</v>
      </c>
      <c r="D122" s="7" t="s">
        <v>13</v>
      </c>
      <c r="E122" s="7" t="s">
        <v>14</v>
      </c>
      <c r="F122" s="6" t="n">
        <v>8</v>
      </c>
      <c r="G122" s="8" t="n">
        <v>983</v>
      </c>
      <c r="H122" s="8" t="n">
        <v>7864</v>
      </c>
      <c r="I122" s="8" t="n">
        <v>6855.65</v>
      </c>
    </row>
    <row r="123" customFormat="false" ht="15" hidden="false" customHeight="false" outlineLevel="0" collapsed="false">
      <c r="A123" s="3" t="s">
        <v>159</v>
      </c>
      <c r="B123" s="3" t="s">
        <v>147</v>
      </c>
      <c r="C123" s="3" t="s">
        <v>12</v>
      </c>
      <c r="D123" s="4" t="s">
        <v>13</v>
      </c>
      <c r="E123" s="4" t="s">
        <v>14</v>
      </c>
      <c r="F123" s="3" t="n">
        <v>2</v>
      </c>
      <c r="G123" s="5" t="n">
        <v>826</v>
      </c>
      <c r="H123" s="5" t="n">
        <v>1652</v>
      </c>
      <c r="I123" s="5" t="n">
        <v>1687.26</v>
      </c>
    </row>
    <row r="124" customFormat="false" ht="15" hidden="false" customHeight="false" outlineLevel="0" collapsed="false">
      <c r="A124" s="6" t="s">
        <v>160</v>
      </c>
      <c r="B124" s="6" t="s">
        <v>147</v>
      </c>
      <c r="C124" s="6" t="s">
        <v>18</v>
      </c>
      <c r="D124" s="7" t="s">
        <v>64</v>
      </c>
      <c r="E124" s="7" t="s">
        <v>30</v>
      </c>
      <c r="F124" s="6" t="n">
        <v>1</v>
      </c>
      <c r="G124" s="8" t="n">
        <v>7092</v>
      </c>
      <c r="H124" s="8" t="n">
        <v>7092</v>
      </c>
      <c r="I124" s="8" t="n">
        <v>6480.21</v>
      </c>
    </row>
    <row r="125" customFormat="false" ht="15" hidden="false" customHeight="false" outlineLevel="0" collapsed="false">
      <c r="A125" s="3" t="s">
        <v>161</v>
      </c>
      <c r="B125" s="3" t="s">
        <v>147</v>
      </c>
      <c r="C125" s="3" t="s">
        <v>22</v>
      </c>
      <c r="D125" s="4" t="s">
        <v>46</v>
      </c>
      <c r="E125" s="4" t="s">
        <v>39</v>
      </c>
      <c r="F125" s="3" t="n">
        <v>6</v>
      </c>
      <c r="G125" s="5" t="n">
        <v>425</v>
      </c>
      <c r="H125" s="5" t="n">
        <v>2550</v>
      </c>
      <c r="I125" s="5" t="n">
        <v>2297.53</v>
      </c>
    </row>
    <row r="126" customFormat="false" ht="15" hidden="false" customHeight="false" outlineLevel="0" collapsed="false">
      <c r="A126" s="6" t="s">
        <v>162</v>
      </c>
      <c r="B126" s="6" t="s">
        <v>147</v>
      </c>
      <c r="C126" s="6" t="s">
        <v>22</v>
      </c>
      <c r="D126" s="7" t="s">
        <v>23</v>
      </c>
      <c r="E126" s="7" t="s">
        <v>30</v>
      </c>
      <c r="F126" s="6" t="n">
        <v>13</v>
      </c>
      <c r="G126" s="8" t="n">
        <v>7050</v>
      </c>
      <c r="H126" s="8" t="n">
        <v>91650</v>
      </c>
      <c r="I126" s="8" t="n">
        <v>76035.85</v>
      </c>
    </row>
    <row r="127" customFormat="false" ht="15" hidden="false" customHeight="false" outlineLevel="0" collapsed="false">
      <c r="A127" s="3" t="s">
        <v>163</v>
      </c>
      <c r="B127" s="3" t="s">
        <v>147</v>
      </c>
      <c r="C127" s="3" t="s">
        <v>12</v>
      </c>
      <c r="D127" s="4" t="s">
        <v>13</v>
      </c>
      <c r="E127" s="4" t="s">
        <v>97</v>
      </c>
      <c r="F127" s="3" t="n">
        <v>19</v>
      </c>
      <c r="G127" s="5" t="n">
        <v>4954</v>
      </c>
      <c r="H127" s="5" t="n">
        <v>94126</v>
      </c>
      <c r="I127" s="5" t="n">
        <v>78507.9</v>
      </c>
    </row>
    <row r="128" customFormat="false" ht="15" hidden="false" customHeight="false" outlineLevel="0" collapsed="false">
      <c r="A128" s="6" t="s">
        <v>164</v>
      </c>
      <c r="B128" s="6" t="s">
        <v>147</v>
      </c>
      <c r="C128" s="6" t="s">
        <v>18</v>
      </c>
      <c r="D128" s="7" t="s">
        <v>19</v>
      </c>
      <c r="E128" s="7" t="s">
        <v>20</v>
      </c>
      <c r="F128" s="6" t="n">
        <v>14</v>
      </c>
      <c r="G128" s="8" t="n">
        <v>2109</v>
      </c>
      <c r="H128" s="8" t="n">
        <v>29526</v>
      </c>
      <c r="I128" s="8" t="n">
        <v>30661.3</v>
      </c>
    </row>
    <row r="129" customFormat="false" ht="15" hidden="false" customHeight="false" outlineLevel="0" collapsed="false">
      <c r="A129" s="3" t="s">
        <v>165</v>
      </c>
      <c r="B129" s="3" t="s">
        <v>166</v>
      </c>
      <c r="C129" s="3" t="s">
        <v>18</v>
      </c>
      <c r="D129" s="4" t="s">
        <v>64</v>
      </c>
      <c r="E129" s="4" t="s">
        <v>24</v>
      </c>
      <c r="F129" s="3" t="n">
        <v>15</v>
      </c>
      <c r="G129" s="5" t="n">
        <v>5951</v>
      </c>
      <c r="H129" s="5" t="n">
        <v>89265</v>
      </c>
      <c r="I129" s="5" t="n">
        <v>102125.11</v>
      </c>
    </row>
    <row r="130" customFormat="false" ht="15" hidden="false" customHeight="false" outlineLevel="0" collapsed="false">
      <c r="A130" s="6" t="s">
        <v>167</v>
      </c>
      <c r="B130" s="6" t="s">
        <v>166</v>
      </c>
      <c r="C130" s="6" t="s">
        <v>22</v>
      </c>
      <c r="D130" s="7" t="s">
        <v>46</v>
      </c>
      <c r="E130" s="7" t="s">
        <v>16</v>
      </c>
      <c r="F130" s="6" t="n">
        <v>20</v>
      </c>
      <c r="G130" s="8" t="n">
        <v>1329</v>
      </c>
      <c r="H130" s="8" t="n">
        <v>26580</v>
      </c>
      <c r="I130" s="8" t="n">
        <v>27745.6</v>
      </c>
    </row>
    <row r="131" customFormat="false" ht="15" hidden="false" customHeight="false" outlineLevel="0" collapsed="false">
      <c r="A131" s="3" t="s">
        <v>168</v>
      </c>
      <c r="B131" s="3" t="s">
        <v>166</v>
      </c>
      <c r="C131" s="3" t="s">
        <v>12</v>
      </c>
      <c r="D131" s="4" t="s">
        <v>13</v>
      </c>
      <c r="E131" s="4" t="s">
        <v>37</v>
      </c>
      <c r="F131" s="3" t="n">
        <v>9</v>
      </c>
      <c r="G131" s="5" t="n">
        <v>7637</v>
      </c>
      <c r="H131" s="5" t="n">
        <v>68733</v>
      </c>
      <c r="I131" s="5" t="n">
        <v>57218.5</v>
      </c>
    </row>
    <row r="132" customFormat="false" ht="15" hidden="false" customHeight="false" outlineLevel="0" collapsed="false">
      <c r="A132" s="6" t="s">
        <v>169</v>
      </c>
      <c r="B132" s="6" t="s">
        <v>166</v>
      </c>
      <c r="C132" s="6" t="s">
        <v>18</v>
      </c>
      <c r="D132" s="7" t="s">
        <v>19</v>
      </c>
      <c r="E132" s="7" t="s">
        <v>20</v>
      </c>
      <c r="F132" s="6" t="n">
        <v>3</v>
      </c>
      <c r="G132" s="8" t="n">
        <v>1879</v>
      </c>
      <c r="H132" s="8" t="n">
        <v>5637</v>
      </c>
      <c r="I132" s="8" t="n">
        <v>4515.63</v>
      </c>
    </row>
    <row r="133" customFormat="false" ht="15" hidden="false" customHeight="false" outlineLevel="0" collapsed="false">
      <c r="A133" s="3" t="s">
        <v>170</v>
      </c>
      <c r="B133" s="3" t="s">
        <v>166</v>
      </c>
      <c r="C133" s="3" t="s">
        <v>22</v>
      </c>
      <c r="D133" s="4" t="s">
        <v>46</v>
      </c>
      <c r="E133" s="4" t="s">
        <v>14</v>
      </c>
      <c r="F133" s="3" t="n">
        <v>2</v>
      </c>
      <c r="G133" s="5" t="n">
        <v>917</v>
      </c>
      <c r="H133" s="5" t="n">
        <v>1834</v>
      </c>
      <c r="I133" s="5" t="n">
        <v>1678.55</v>
      </c>
    </row>
    <row r="134" customFormat="false" ht="15" hidden="false" customHeight="false" outlineLevel="0" collapsed="false">
      <c r="A134" s="6" t="s">
        <v>171</v>
      </c>
      <c r="B134" s="6" t="s">
        <v>166</v>
      </c>
      <c r="C134" s="6" t="s">
        <v>28</v>
      </c>
      <c r="D134" s="7" t="s">
        <v>32</v>
      </c>
      <c r="E134" s="7" t="s">
        <v>30</v>
      </c>
      <c r="F134" s="6" t="n">
        <v>8</v>
      </c>
      <c r="G134" s="8" t="n">
        <v>6934</v>
      </c>
      <c r="H134" s="8" t="n">
        <v>55472</v>
      </c>
      <c r="I134" s="8" t="n">
        <v>61858.56</v>
      </c>
    </row>
    <row r="135" customFormat="false" ht="15" hidden="false" customHeight="false" outlineLevel="0" collapsed="false">
      <c r="A135" s="3" t="s">
        <v>172</v>
      </c>
      <c r="B135" s="3" t="s">
        <v>166</v>
      </c>
      <c r="C135" s="3" t="s">
        <v>18</v>
      </c>
      <c r="D135" s="4" t="s">
        <v>64</v>
      </c>
      <c r="E135" s="4" t="s">
        <v>30</v>
      </c>
      <c r="F135" s="3" t="n">
        <v>18</v>
      </c>
      <c r="G135" s="5" t="n">
        <v>6914</v>
      </c>
      <c r="H135" s="5" t="n">
        <v>124452</v>
      </c>
      <c r="I135" s="5" t="n">
        <v>131801.37</v>
      </c>
    </row>
    <row r="136" customFormat="false" ht="15" hidden="false" customHeight="false" outlineLevel="0" collapsed="false">
      <c r="A136" s="6" t="s">
        <v>173</v>
      </c>
      <c r="B136" s="6" t="s">
        <v>166</v>
      </c>
      <c r="C136" s="6" t="s">
        <v>28</v>
      </c>
      <c r="D136" s="7" t="s">
        <v>29</v>
      </c>
      <c r="E136" s="7" t="s">
        <v>30</v>
      </c>
      <c r="F136" s="6" t="n">
        <v>2</v>
      </c>
      <c r="G136" s="8" t="n">
        <v>6883</v>
      </c>
      <c r="H136" s="8" t="n">
        <v>13766</v>
      </c>
      <c r="I136" s="8" t="n">
        <v>15377.33</v>
      </c>
    </row>
    <row r="137" customFormat="false" ht="15" hidden="false" customHeight="false" outlineLevel="0" collapsed="false">
      <c r="A137" s="3" t="s">
        <v>174</v>
      </c>
      <c r="B137" s="3" t="s">
        <v>166</v>
      </c>
      <c r="C137" s="3" t="s">
        <v>28</v>
      </c>
      <c r="D137" s="4" t="s">
        <v>32</v>
      </c>
      <c r="E137" s="4" t="s">
        <v>30</v>
      </c>
      <c r="F137" s="3" t="n">
        <v>15</v>
      </c>
      <c r="G137" s="5" t="n">
        <v>7151</v>
      </c>
      <c r="H137" s="5" t="n">
        <v>107265</v>
      </c>
      <c r="I137" s="5" t="n">
        <v>98859.34</v>
      </c>
    </row>
    <row r="138" customFormat="false" ht="15" hidden="false" customHeight="false" outlineLevel="0" collapsed="false">
      <c r="A138" s="6" t="s">
        <v>175</v>
      </c>
      <c r="B138" s="6" t="s">
        <v>166</v>
      </c>
      <c r="C138" s="6" t="s">
        <v>22</v>
      </c>
      <c r="D138" s="7" t="s">
        <v>46</v>
      </c>
      <c r="E138" s="7" t="s">
        <v>20</v>
      </c>
      <c r="F138" s="6" t="n">
        <v>18</v>
      </c>
      <c r="G138" s="8" t="n">
        <v>2051</v>
      </c>
      <c r="H138" s="8" t="n">
        <v>36918</v>
      </c>
      <c r="I138" s="8" t="n">
        <v>35998.87</v>
      </c>
    </row>
    <row r="139" customFormat="false" ht="15" hidden="false" customHeight="false" outlineLevel="0" collapsed="false">
      <c r="A139" s="3" t="s">
        <v>176</v>
      </c>
      <c r="B139" s="3" t="s">
        <v>166</v>
      </c>
      <c r="C139" s="3" t="s">
        <v>12</v>
      </c>
      <c r="D139" s="4" t="s">
        <v>55</v>
      </c>
      <c r="E139" s="4" t="s">
        <v>39</v>
      </c>
      <c r="F139" s="3" t="n">
        <v>20</v>
      </c>
      <c r="G139" s="5" t="n">
        <v>527</v>
      </c>
      <c r="H139" s="5" t="n">
        <v>10540</v>
      </c>
      <c r="I139" s="5" t="n">
        <v>8541.05</v>
      </c>
    </row>
    <row r="140" customFormat="false" ht="15" hidden="false" customHeight="false" outlineLevel="0" collapsed="false">
      <c r="A140" s="6" t="s">
        <v>177</v>
      </c>
      <c r="B140" s="6" t="s">
        <v>166</v>
      </c>
      <c r="C140" s="6" t="s">
        <v>18</v>
      </c>
      <c r="D140" s="7" t="s">
        <v>19</v>
      </c>
      <c r="E140" s="7" t="s">
        <v>14</v>
      </c>
      <c r="F140" s="6" t="n">
        <v>19</v>
      </c>
      <c r="G140" s="8" t="n">
        <v>819</v>
      </c>
      <c r="H140" s="8" t="n">
        <v>15561</v>
      </c>
      <c r="I140" s="8" t="n">
        <v>17198.7</v>
      </c>
    </row>
    <row r="141" customFormat="false" ht="15" hidden="false" customHeight="false" outlineLevel="0" collapsed="false">
      <c r="A141" s="3" t="s">
        <v>178</v>
      </c>
      <c r="B141" s="3" t="s">
        <v>166</v>
      </c>
      <c r="C141" s="3" t="s">
        <v>18</v>
      </c>
      <c r="D141" s="4" t="s">
        <v>64</v>
      </c>
      <c r="E141" s="4" t="s">
        <v>20</v>
      </c>
      <c r="F141" s="3" t="n">
        <v>15</v>
      </c>
      <c r="G141" s="5" t="n">
        <v>1941</v>
      </c>
      <c r="H141" s="5" t="n">
        <v>29115</v>
      </c>
      <c r="I141" s="5" t="n">
        <v>25405.62</v>
      </c>
    </row>
    <row r="142" customFormat="false" ht="15" hidden="false" customHeight="false" outlineLevel="0" collapsed="false">
      <c r="A142" s="6" t="s">
        <v>179</v>
      </c>
      <c r="B142" s="6" t="s">
        <v>166</v>
      </c>
      <c r="C142" s="6" t="s">
        <v>22</v>
      </c>
      <c r="D142" s="7" t="s">
        <v>46</v>
      </c>
      <c r="E142" s="7" t="s">
        <v>30</v>
      </c>
      <c r="F142" s="6" t="n">
        <v>16</v>
      </c>
      <c r="G142" s="8" t="n">
        <v>6977</v>
      </c>
      <c r="H142" s="8" t="n">
        <v>111632</v>
      </c>
      <c r="I142" s="8" t="n">
        <v>107539.49</v>
      </c>
    </row>
    <row r="143" customFormat="false" ht="15" hidden="false" customHeight="false" outlineLevel="0" collapsed="false">
      <c r="A143" s="3" t="s">
        <v>180</v>
      </c>
      <c r="B143" s="3" t="s">
        <v>166</v>
      </c>
      <c r="C143" s="3" t="s">
        <v>28</v>
      </c>
      <c r="D143" s="4" t="s">
        <v>29</v>
      </c>
      <c r="E143" s="4" t="s">
        <v>97</v>
      </c>
      <c r="F143" s="3" t="n">
        <v>11</v>
      </c>
      <c r="G143" s="5" t="n">
        <v>5009</v>
      </c>
      <c r="H143" s="5" t="n">
        <v>55099</v>
      </c>
      <c r="I143" s="5" t="n">
        <v>59367.49</v>
      </c>
    </row>
    <row r="144" customFormat="false" ht="15" hidden="false" customHeight="false" outlineLevel="0" collapsed="false">
      <c r="A144" s="6" t="s">
        <v>181</v>
      </c>
      <c r="B144" s="6" t="s">
        <v>166</v>
      </c>
      <c r="C144" s="6" t="s">
        <v>28</v>
      </c>
      <c r="D144" s="7" t="s">
        <v>32</v>
      </c>
      <c r="E144" s="7" t="s">
        <v>20</v>
      </c>
      <c r="F144" s="6" t="n">
        <v>2</v>
      </c>
      <c r="G144" s="8" t="n">
        <v>2031</v>
      </c>
      <c r="H144" s="8" t="n">
        <v>4062</v>
      </c>
      <c r="I144" s="8" t="n">
        <v>3392.68</v>
      </c>
    </row>
    <row r="145" customFormat="false" ht="15" hidden="false" customHeight="false" outlineLevel="0" collapsed="false">
      <c r="A145" s="3" t="s">
        <v>182</v>
      </c>
      <c r="B145" s="3" t="s">
        <v>166</v>
      </c>
      <c r="C145" s="3" t="s">
        <v>28</v>
      </c>
      <c r="D145" s="4" t="s">
        <v>32</v>
      </c>
      <c r="E145" s="4" t="s">
        <v>30</v>
      </c>
      <c r="F145" s="3" t="n">
        <v>13</v>
      </c>
      <c r="G145" s="5" t="n">
        <v>7062</v>
      </c>
      <c r="H145" s="5" t="n">
        <v>91806</v>
      </c>
      <c r="I145" s="5" t="n">
        <v>103738.11</v>
      </c>
    </row>
    <row r="146" customFormat="false" ht="15" hidden="false" customHeight="false" outlineLevel="0" collapsed="false">
      <c r="A146" s="6" t="s">
        <v>183</v>
      </c>
      <c r="B146" s="6" t="s">
        <v>166</v>
      </c>
      <c r="C146" s="6" t="s">
        <v>12</v>
      </c>
      <c r="D146" s="7" t="s">
        <v>55</v>
      </c>
      <c r="E146" s="7" t="s">
        <v>26</v>
      </c>
      <c r="F146" s="6" t="n">
        <v>2</v>
      </c>
      <c r="G146" s="8" t="n">
        <v>2395</v>
      </c>
      <c r="H146" s="8" t="n">
        <v>4790</v>
      </c>
      <c r="I146" s="8" t="n">
        <v>4825.33</v>
      </c>
    </row>
    <row r="147" customFormat="false" ht="15" hidden="false" customHeight="false" outlineLevel="0" collapsed="false">
      <c r="A147" s="3" t="s">
        <v>184</v>
      </c>
      <c r="B147" s="3" t="s">
        <v>185</v>
      </c>
      <c r="C147" s="3" t="s">
        <v>22</v>
      </c>
      <c r="D147" s="4" t="s">
        <v>46</v>
      </c>
      <c r="E147" s="4" t="s">
        <v>33</v>
      </c>
      <c r="F147" s="3" t="n">
        <v>7</v>
      </c>
      <c r="G147" s="5" t="n">
        <v>9935</v>
      </c>
      <c r="H147" s="5" t="n">
        <v>69545</v>
      </c>
      <c r="I147" s="5" t="n">
        <v>70914.19</v>
      </c>
    </row>
    <row r="148" customFormat="false" ht="15" hidden="false" customHeight="false" outlineLevel="0" collapsed="false">
      <c r="A148" s="6" t="s">
        <v>186</v>
      </c>
      <c r="B148" s="6" t="s">
        <v>185</v>
      </c>
      <c r="C148" s="6" t="s">
        <v>28</v>
      </c>
      <c r="D148" s="7" t="s">
        <v>32</v>
      </c>
      <c r="E148" s="7" t="s">
        <v>24</v>
      </c>
      <c r="F148" s="6" t="n">
        <v>4</v>
      </c>
      <c r="G148" s="8" t="n">
        <v>5813</v>
      </c>
      <c r="H148" s="8" t="n">
        <v>23252</v>
      </c>
      <c r="I148" s="8" t="n">
        <v>27652.64</v>
      </c>
    </row>
    <row r="149" customFormat="false" ht="15" hidden="false" customHeight="false" outlineLevel="0" collapsed="false">
      <c r="A149" s="3" t="s">
        <v>187</v>
      </c>
      <c r="B149" s="3" t="s">
        <v>185</v>
      </c>
      <c r="C149" s="3" t="s">
        <v>18</v>
      </c>
      <c r="D149" s="4" t="s">
        <v>19</v>
      </c>
      <c r="E149" s="4" t="s">
        <v>14</v>
      </c>
      <c r="F149" s="3" t="n">
        <v>18</v>
      </c>
      <c r="G149" s="5" t="n">
        <v>806</v>
      </c>
      <c r="H149" s="5" t="n">
        <v>14508</v>
      </c>
      <c r="I149" s="5" t="n">
        <v>14811.23</v>
      </c>
    </row>
    <row r="150" customFormat="false" ht="15" hidden="false" customHeight="false" outlineLevel="0" collapsed="false">
      <c r="A150" s="6" t="s">
        <v>188</v>
      </c>
      <c r="B150" s="6" t="s">
        <v>185</v>
      </c>
      <c r="C150" s="6" t="s">
        <v>12</v>
      </c>
      <c r="D150" s="7" t="s">
        <v>13</v>
      </c>
      <c r="E150" s="7" t="s">
        <v>30</v>
      </c>
      <c r="F150" s="6" t="n">
        <v>15</v>
      </c>
      <c r="G150" s="8" t="n">
        <v>6859</v>
      </c>
      <c r="H150" s="8" t="n">
        <v>102885</v>
      </c>
      <c r="I150" s="8" t="n">
        <v>108963.84</v>
      </c>
    </row>
    <row r="151" customFormat="false" ht="15" hidden="false" customHeight="false" outlineLevel="0" collapsed="false">
      <c r="A151" s="3" t="s">
        <v>189</v>
      </c>
      <c r="B151" s="3" t="s">
        <v>185</v>
      </c>
      <c r="C151" s="3" t="s">
        <v>18</v>
      </c>
      <c r="D151" s="4" t="s">
        <v>64</v>
      </c>
      <c r="E151" s="4" t="s">
        <v>14</v>
      </c>
      <c r="F151" s="3" t="n">
        <v>17</v>
      </c>
      <c r="G151" s="5" t="n">
        <v>1160</v>
      </c>
      <c r="H151" s="5" t="n">
        <v>19720</v>
      </c>
      <c r="I151" s="5" t="n">
        <v>17932.78</v>
      </c>
    </row>
    <row r="152" customFormat="false" ht="15" hidden="false" customHeight="false" outlineLevel="0" collapsed="false">
      <c r="A152" s="6" t="s">
        <v>190</v>
      </c>
      <c r="B152" s="6" t="s">
        <v>185</v>
      </c>
      <c r="C152" s="6" t="s">
        <v>22</v>
      </c>
      <c r="D152" s="7" t="s">
        <v>46</v>
      </c>
      <c r="E152" s="7" t="s">
        <v>37</v>
      </c>
      <c r="F152" s="6" t="n">
        <v>15</v>
      </c>
      <c r="G152" s="8" t="n">
        <v>7581</v>
      </c>
      <c r="H152" s="8" t="n">
        <v>113715</v>
      </c>
      <c r="I152" s="8" t="n">
        <v>97551.18</v>
      </c>
    </row>
    <row r="153" customFormat="false" ht="15" hidden="false" customHeight="false" outlineLevel="0" collapsed="false">
      <c r="A153" s="3" t="s">
        <v>191</v>
      </c>
      <c r="B153" s="3" t="s">
        <v>185</v>
      </c>
      <c r="C153" s="3" t="s">
        <v>18</v>
      </c>
      <c r="D153" s="4" t="s">
        <v>19</v>
      </c>
      <c r="E153" s="4" t="s">
        <v>30</v>
      </c>
      <c r="F153" s="3" t="n">
        <v>9</v>
      </c>
      <c r="G153" s="5" t="n">
        <v>7194</v>
      </c>
      <c r="H153" s="5" t="n">
        <v>64746</v>
      </c>
      <c r="I153" s="5" t="n">
        <v>72256.7</v>
      </c>
    </row>
    <row r="154" customFormat="false" ht="15" hidden="false" customHeight="false" outlineLevel="0" collapsed="false">
      <c r="A154" s="6" t="s">
        <v>192</v>
      </c>
      <c r="B154" s="6" t="s">
        <v>185</v>
      </c>
      <c r="C154" s="6" t="s">
        <v>22</v>
      </c>
      <c r="D154" s="7" t="s">
        <v>46</v>
      </c>
      <c r="E154" s="7" t="s">
        <v>20</v>
      </c>
      <c r="F154" s="6" t="n">
        <v>9</v>
      </c>
      <c r="G154" s="8" t="n">
        <v>1800</v>
      </c>
      <c r="H154" s="8" t="n">
        <v>16200</v>
      </c>
      <c r="I154" s="8" t="n">
        <v>14792.8</v>
      </c>
    </row>
    <row r="155" customFormat="false" ht="15" hidden="false" customHeight="false" outlineLevel="0" collapsed="false">
      <c r="A155" s="3" t="s">
        <v>193</v>
      </c>
      <c r="B155" s="3" t="s">
        <v>185</v>
      </c>
      <c r="C155" s="3" t="s">
        <v>28</v>
      </c>
      <c r="D155" s="4" t="s">
        <v>32</v>
      </c>
      <c r="E155" s="4" t="s">
        <v>97</v>
      </c>
      <c r="F155" s="3" t="n">
        <v>15</v>
      </c>
      <c r="G155" s="5" t="n">
        <v>5074</v>
      </c>
      <c r="H155" s="5" t="n">
        <v>76110</v>
      </c>
      <c r="I155" s="5" t="n">
        <v>75633.29</v>
      </c>
    </row>
    <row r="156" customFormat="false" ht="15" hidden="false" customHeight="false" outlineLevel="0" collapsed="false">
      <c r="A156" s="6" t="s">
        <v>194</v>
      </c>
      <c r="B156" s="6" t="s">
        <v>185</v>
      </c>
      <c r="C156" s="6" t="s">
        <v>28</v>
      </c>
      <c r="D156" s="7" t="s">
        <v>32</v>
      </c>
      <c r="E156" s="7" t="s">
        <v>24</v>
      </c>
      <c r="F156" s="6" t="n">
        <v>11</v>
      </c>
      <c r="G156" s="8" t="n">
        <v>5895</v>
      </c>
      <c r="H156" s="8" t="n">
        <v>64845</v>
      </c>
      <c r="I156" s="8" t="n">
        <v>77315.33</v>
      </c>
    </row>
    <row r="157" customFormat="false" ht="15" hidden="false" customHeight="false" outlineLevel="0" collapsed="false">
      <c r="A157" s="3" t="s">
        <v>195</v>
      </c>
      <c r="B157" s="3" t="s">
        <v>185</v>
      </c>
      <c r="C157" s="3" t="s">
        <v>18</v>
      </c>
      <c r="D157" s="4" t="s">
        <v>64</v>
      </c>
      <c r="E157" s="4" t="s">
        <v>37</v>
      </c>
      <c r="F157" s="3" t="n">
        <v>14</v>
      </c>
      <c r="G157" s="5" t="n">
        <v>7321</v>
      </c>
      <c r="H157" s="5" t="n">
        <v>102494</v>
      </c>
      <c r="I157" s="5" t="n">
        <v>95039.67</v>
      </c>
    </row>
    <row r="158" customFormat="false" ht="15" hidden="false" customHeight="false" outlineLevel="0" collapsed="false">
      <c r="A158" s="6" t="s">
        <v>196</v>
      </c>
      <c r="B158" s="6" t="s">
        <v>185</v>
      </c>
      <c r="C158" s="6" t="s">
        <v>22</v>
      </c>
      <c r="D158" s="7" t="s">
        <v>46</v>
      </c>
      <c r="E158" s="7" t="s">
        <v>26</v>
      </c>
      <c r="F158" s="6" t="n">
        <v>5</v>
      </c>
      <c r="G158" s="8" t="n">
        <v>2552</v>
      </c>
      <c r="H158" s="8" t="n">
        <v>12760</v>
      </c>
      <c r="I158" s="8" t="n">
        <v>15132.46</v>
      </c>
    </row>
    <row r="159" customFormat="false" ht="15" hidden="false" customHeight="false" outlineLevel="0" collapsed="false">
      <c r="A159" s="3" t="s">
        <v>197</v>
      </c>
      <c r="B159" s="3" t="s">
        <v>185</v>
      </c>
      <c r="C159" s="3" t="s">
        <v>18</v>
      </c>
      <c r="D159" s="4" t="s">
        <v>64</v>
      </c>
      <c r="E159" s="4" t="s">
        <v>30</v>
      </c>
      <c r="F159" s="3" t="n">
        <v>15</v>
      </c>
      <c r="G159" s="5" t="n">
        <v>6850</v>
      </c>
      <c r="H159" s="5" t="n">
        <v>102750</v>
      </c>
      <c r="I159" s="5" t="n">
        <v>103816.59</v>
      </c>
    </row>
    <row r="160" customFormat="false" ht="15" hidden="false" customHeight="false" outlineLevel="0" collapsed="false">
      <c r="A160" s="6" t="s">
        <v>198</v>
      </c>
      <c r="B160" s="6" t="s">
        <v>185</v>
      </c>
      <c r="C160" s="6" t="s">
        <v>22</v>
      </c>
      <c r="D160" s="7" t="s">
        <v>23</v>
      </c>
      <c r="E160" s="7" t="s">
        <v>97</v>
      </c>
      <c r="F160" s="6" t="n">
        <v>14</v>
      </c>
      <c r="G160" s="8" t="n">
        <v>5134</v>
      </c>
      <c r="H160" s="8" t="n">
        <v>71876</v>
      </c>
      <c r="I160" s="8" t="n">
        <v>85387.45</v>
      </c>
    </row>
    <row r="161" customFormat="false" ht="15" hidden="false" customHeight="false" outlineLevel="0" collapsed="false">
      <c r="A161" s="3" t="s">
        <v>199</v>
      </c>
      <c r="B161" s="3" t="s">
        <v>185</v>
      </c>
      <c r="C161" s="3" t="s">
        <v>12</v>
      </c>
      <c r="D161" s="4" t="s">
        <v>55</v>
      </c>
      <c r="E161" s="4" t="s">
        <v>14</v>
      </c>
      <c r="F161" s="3" t="n">
        <v>11</v>
      </c>
      <c r="G161" s="5" t="n">
        <v>1118</v>
      </c>
      <c r="H161" s="5" t="n">
        <v>12298</v>
      </c>
      <c r="I161" s="5" t="n">
        <v>13245.95</v>
      </c>
    </row>
    <row r="162" customFormat="false" ht="15" hidden="false" customHeight="false" outlineLevel="0" collapsed="false">
      <c r="A162" s="6" t="s">
        <v>200</v>
      </c>
      <c r="B162" s="6" t="s">
        <v>185</v>
      </c>
      <c r="C162" s="6" t="s">
        <v>12</v>
      </c>
      <c r="D162" s="7" t="s">
        <v>55</v>
      </c>
      <c r="E162" s="7" t="s">
        <v>20</v>
      </c>
      <c r="F162" s="6" t="n">
        <v>13</v>
      </c>
      <c r="G162" s="8" t="n">
        <v>1961</v>
      </c>
      <c r="H162" s="8" t="n">
        <v>25493</v>
      </c>
      <c r="I162" s="8" t="n">
        <v>26786</v>
      </c>
    </row>
    <row r="163" customFormat="false" ht="15" hidden="false" customHeight="false" outlineLevel="0" collapsed="false">
      <c r="A163" s="3" t="s">
        <v>201</v>
      </c>
      <c r="B163" s="3" t="s">
        <v>185</v>
      </c>
      <c r="C163" s="3" t="s">
        <v>22</v>
      </c>
      <c r="D163" s="4" t="s">
        <v>23</v>
      </c>
      <c r="E163" s="4" t="s">
        <v>16</v>
      </c>
      <c r="F163" s="3" t="n">
        <v>3</v>
      </c>
      <c r="G163" s="5" t="n">
        <v>1419</v>
      </c>
      <c r="H163" s="5" t="n">
        <v>4257</v>
      </c>
      <c r="I163" s="5" t="n">
        <v>4480.34</v>
      </c>
    </row>
    <row r="164" customFormat="false" ht="15" hidden="false" customHeight="false" outlineLevel="0" collapsed="false">
      <c r="A164" s="6" t="s">
        <v>202</v>
      </c>
      <c r="B164" s="6" t="s">
        <v>185</v>
      </c>
      <c r="C164" s="6" t="s">
        <v>28</v>
      </c>
      <c r="D164" s="7" t="s">
        <v>29</v>
      </c>
      <c r="E164" s="7" t="s">
        <v>30</v>
      </c>
      <c r="F164" s="6" t="n">
        <v>14</v>
      </c>
      <c r="G164" s="8" t="n">
        <v>6849</v>
      </c>
      <c r="H164" s="8" t="n">
        <v>95886</v>
      </c>
      <c r="I164" s="8" t="n">
        <v>105872.32</v>
      </c>
    </row>
    <row r="165" customFormat="false" ht="15" hidden="false" customHeight="false" outlineLevel="0" collapsed="false">
      <c r="A165" s="3" t="s">
        <v>203</v>
      </c>
      <c r="B165" s="3" t="s">
        <v>204</v>
      </c>
      <c r="C165" s="3" t="s">
        <v>12</v>
      </c>
      <c r="D165" s="4" t="s">
        <v>55</v>
      </c>
      <c r="E165" s="4" t="s">
        <v>97</v>
      </c>
      <c r="F165" s="3" t="n">
        <v>10</v>
      </c>
      <c r="G165" s="5" t="n">
        <v>4813</v>
      </c>
      <c r="H165" s="5" t="n">
        <v>48130</v>
      </c>
      <c r="I165" s="5" t="n">
        <v>39389.42</v>
      </c>
    </row>
    <row r="166" customFormat="false" ht="15" hidden="false" customHeight="false" outlineLevel="0" collapsed="false">
      <c r="A166" s="6" t="s">
        <v>205</v>
      </c>
      <c r="B166" s="6" t="s">
        <v>204</v>
      </c>
      <c r="C166" s="6" t="s">
        <v>12</v>
      </c>
      <c r="D166" s="7" t="s">
        <v>55</v>
      </c>
      <c r="E166" s="7" t="s">
        <v>39</v>
      </c>
      <c r="F166" s="6" t="n">
        <v>12</v>
      </c>
      <c r="G166" s="8" t="n">
        <v>619</v>
      </c>
      <c r="H166" s="8" t="n">
        <v>7428</v>
      </c>
      <c r="I166" s="8" t="n">
        <v>6374.92</v>
      </c>
    </row>
    <row r="167" customFormat="false" ht="15" hidden="false" customHeight="false" outlineLevel="0" collapsed="false">
      <c r="A167" s="3" t="s">
        <v>206</v>
      </c>
      <c r="B167" s="3" t="s">
        <v>204</v>
      </c>
      <c r="C167" s="3" t="s">
        <v>22</v>
      </c>
      <c r="D167" s="4" t="s">
        <v>23</v>
      </c>
      <c r="E167" s="4" t="s">
        <v>97</v>
      </c>
      <c r="F167" s="3" t="n">
        <v>6</v>
      </c>
      <c r="G167" s="5" t="n">
        <v>4839</v>
      </c>
      <c r="H167" s="5" t="n">
        <v>29034</v>
      </c>
      <c r="I167" s="5" t="n">
        <v>30305.59</v>
      </c>
    </row>
    <row r="168" customFormat="false" ht="15" hidden="false" customHeight="false" outlineLevel="0" collapsed="false">
      <c r="A168" s="6" t="s">
        <v>207</v>
      </c>
      <c r="B168" s="6" t="s">
        <v>204</v>
      </c>
      <c r="C168" s="6" t="s">
        <v>22</v>
      </c>
      <c r="D168" s="7" t="s">
        <v>23</v>
      </c>
      <c r="E168" s="7" t="s">
        <v>24</v>
      </c>
      <c r="F168" s="6" t="n">
        <v>19</v>
      </c>
      <c r="G168" s="8" t="n">
        <v>5872</v>
      </c>
      <c r="H168" s="8" t="n">
        <v>111568</v>
      </c>
      <c r="I168" s="8" t="n">
        <v>99616.32</v>
      </c>
    </row>
    <row r="169" customFormat="false" ht="15" hidden="false" customHeight="false" outlineLevel="0" collapsed="false">
      <c r="A169" s="3" t="s">
        <v>208</v>
      </c>
      <c r="B169" s="3" t="s">
        <v>204</v>
      </c>
      <c r="C169" s="3" t="s">
        <v>28</v>
      </c>
      <c r="D169" s="4" t="s">
        <v>32</v>
      </c>
      <c r="E169" s="4" t="s">
        <v>14</v>
      </c>
      <c r="F169" s="3" t="n">
        <v>1</v>
      </c>
      <c r="G169" s="5" t="n">
        <v>1037</v>
      </c>
      <c r="H169" s="5" t="n">
        <v>1037</v>
      </c>
      <c r="I169" s="5" t="n">
        <v>1203.42</v>
      </c>
    </row>
    <row r="170" customFormat="false" ht="15" hidden="false" customHeight="false" outlineLevel="0" collapsed="false">
      <c r="A170" s="6" t="s">
        <v>209</v>
      </c>
      <c r="B170" s="6" t="s">
        <v>204</v>
      </c>
      <c r="C170" s="6" t="s">
        <v>18</v>
      </c>
      <c r="D170" s="7" t="s">
        <v>19</v>
      </c>
      <c r="E170" s="7" t="s">
        <v>24</v>
      </c>
      <c r="F170" s="6" t="n">
        <v>12</v>
      </c>
      <c r="G170" s="8" t="n">
        <v>6099</v>
      </c>
      <c r="H170" s="8" t="n">
        <v>73188</v>
      </c>
      <c r="I170" s="8" t="n">
        <v>67308.2</v>
      </c>
    </row>
    <row r="171" customFormat="false" ht="15" hidden="false" customHeight="false" outlineLevel="0" collapsed="false">
      <c r="A171" s="3" t="s">
        <v>210</v>
      </c>
      <c r="B171" s="3" t="s">
        <v>204</v>
      </c>
      <c r="C171" s="3" t="s">
        <v>22</v>
      </c>
      <c r="D171" s="4" t="s">
        <v>46</v>
      </c>
      <c r="E171" s="4" t="s">
        <v>24</v>
      </c>
      <c r="F171" s="3" t="n">
        <v>10</v>
      </c>
      <c r="G171" s="5" t="n">
        <v>5900</v>
      </c>
      <c r="H171" s="5" t="n">
        <v>59000</v>
      </c>
      <c r="I171" s="5" t="n">
        <v>70785.22</v>
      </c>
    </row>
    <row r="172" customFormat="false" ht="15" hidden="false" customHeight="false" outlineLevel="0" collapsed="false">
      <c r="A172" s="6" t="s">
        <v>211</v>
      </c>
      <c r="B172" s="6" t="s">
        <v>204</v>
      </c>
      <c r="C172" s="6" t="s">
        <v>22</v>
      </c>
      <c r="D172" s="7" t="s">
        <v>23</v>
      </c>
      <c r="E172" s="7" t="s">
        <v>37</v>
      </c>
      <c r="F172" s="6" t="n">
        <v>13</v>
      </c>
      <c r="G172" s="8" t="n">
        <v>7591</v>
      </c>
      <c r="H172" s="8" t="n">
        <v>98683</v>
      </c>
      <c r="I172" s="8" t="n">
        <v>93115.67</v>
      </c>
    </row>
    <row r="173" customFormat="false" ht="15" hidden="false" customHeight="false" outlineLevel="0" collapsed="false">
      <c r="A173" s="3" t="s">
        <v>212</v>
      </c>
      <c r="B173" s="3" t="s">
        <v>204</v>
      </c>
      <c r="C173" s="3" t="s">
        <v>28</v>
      </c>
      <c r="D173" s="4" t="s">
        <v>32</v>
      </c>
      <c r="E173" s="4" t="s">
        <v>33</v>
      </c>
      <c r="F173" s="3" t="n">
        <v>13</v>
      </c>
      <c r="G173" s="5" t="n">
        <v>9939</v>
      </c>
      <c r="H173" s="5" t="n">
        <v>129207</v>
      </c>
      <c r="I173" s="5" t="n">
        <v>103784.13</v>
      </c>
    </row>
    <row r="174" customFormat="false" ht="15" hidden="false" customHeight="false" outlineLevel="0" collapsed="false">
      <c r="A174" s="6" t="s">
        <v>213</v>
      </c>
      <c r="B174" s="6" t="s">
        <v>204</v>
      </c>
      <c r="C174" s="6" t="s">
        <v>12</v>
      </c>
      <c r="D174" s="7" t="s">
        <v>55</v>
      </c>
      <c r="E174" s="7" t="s">
        <v>14</v>
      </c>
      <c r="F174" s="6" t="n">
        <v>8</v>
      </c>
      <c r="G174" s="8" t="n">
        <v>1109</v>
      </c>
      <c r="H174" s="8" t="n">
        <v>8872</v>
      </c>
      <c r="I174" s="8" t="n">
        <v>9943.5</v>
      </c>
    </row>
    <row r="175" customFormat="false" ht="15" hidden="false" customHeight="false" outlineLevel="0" collapsed="false">
      <c r="A175" s="3" t="s">
        <v>214</v>
      </c>
      <c r="B175" s="3" t="s">
        <v>204</v>
      </c>
      <c r="C175" s="3" t="s">
        <v>18</v>
      </c>
      <c r="D175" s="4" t="s">
        <v>19</v>
      </c>
      <c r="E175" s="4" t="s">
        <v>16</v>
      </c>
      <c r="F175" s="3" t="n">
        <v>9</v>
      </c>
      <c r="G175" s="5" t="n">
        <v>1646</v>
      </c>
      <c r="H175" s="5" t="n">
        <v>14814</v>
      </c>
      <c r="I175" s="5" t="n">
        <v>16328.45</v>
      </c>
    </row>
    <row r="176" customFormat="false" ht="15" hidden="false" customHeight="false" outlineLevel="0" collapsed="false">
      <c r="A176" s="6" t="s">
        <v>215</v>
      </c>
      <c r="B176" s="6" t="s">
        <v>204</v>
      </c>
      <c r="C176" s="6" t="s">
        <v>18</v>
      </c>
      <c r="D176" s="7" t="s">
        <v>19</v>
      </c>
      <c r="E176" s="7" t="s">
        <v>33</v>
      </c>
      <c r="F176" s="6" t="n">
        <v>10</v>
      </c>
      <c r="G176" s="8" t="n">
        <v>10024</v>
      </c>
      <c r="H176" s="8" t="n">
        <v>100240</v>
      </c>
      <c r="I176" s="8" t="n">
        <v>81529.78</v>
      </c>
    </row>
    <row r="177" customFormat="false" ht="15" hidden="false" customHeight="false" outlineLevel="0" collapsed="false">
      <c r="A177" s="3" t="s">
        <v>216</v>
      </c>
      <c r="B177" s="3" t="s">
        <v>204</v>
      </c>
      <c r="C177" s="3" t="s">
        <v>28</v>
      </c>
      <c r="D177" s="4" t="s">
        <v>29</v>
      </c>
      <c r="E177" s="4" t="s">
        <v>30</v>
      </c>
      <c r="F177" s="3" t="n">
        <v>10</v>
      </c>
      <c r="G177" s="5" t="n">
        <v>6966</v>
      </c>
      <c r="H177" s="5" t="n">
        <v>69660</v>
      </c>
      <c r="I177" s="5" t="n">
        <v>76555.81</v>
      </c>
    </row>
    <row r="178" customFormat="false" ht="15" hidden="false" customHeight="false" outlineLevel="0" collapsed="false">
      <c r="A178" s="6" t="s">
        <v>217</v>
      </c>
      <c r="B178" s="6" t="s">
        <v>204</v>
      </c>
      <c r="C178" s="6" t="s">
        <v>18</v>
      </c>
      <c r="D178" s="7" t="s">
        <v>19</v>
      </c>
      <c r="E178" s="7" t="s">
        <v>97</v>
      </c>
      <c r="F178" s="6" t="n">
        <v>18</v>
      </c>
      <c r="G178" s="8" t="n">
        <v>4986</v>
      </c>
      <c r="H178" s="8" t="n">
        <v>89748</v>
      </c>
      <c r="I178" s="8" t="n">
        <v>90855.58</v>
      </c>
    </row>
    <row r="179" customFormat="false" ht="15" hidden="false" customHeight="false" outlineLevel="0" collapsed="false">
      <c r="A179" s="3" t="s">
        <v>218</v>
      </c>
      <c r="B179" s="3" t="s">
        <v>204</v>
      </c>
      <c r="C179" s="3" t="s">
        <v>28</v>
      </c>
      <c r="D179" s="4" t="s">
        <v>29</v>
      </c>
      <c r="E179" s="4" t="s">
        <v>14</v>
      </c>
      <c r="F179" s="3" t="n">
        <v>16</v>
      </c>
      <c r="G179" s="5" t="n">
        <v>950</v>
      </c>
      <c r="H179" s="5" t="n">
        <v>15200</v>
      </c>
      <c r="I179" s="5" t="n">
        <v>16699.08</v>
      </c>
    </row>
    <row r="180" customFormat="false" ht="15" hidden="false" customHeight="false" outlineLevel="0" collapsed="false">
      <c r="A180" s="6" t="s">
        <v>219</v>
      </c>
      <c r="B180" s="6" t="s">
        <v>204</v>
      </c>
      <c r="C180" s="6" t="s">
        <v>28</v>
      </c>
      <c r="D180" s="7" t="s">
        <v>29</v>
      </c>
      <c r="E180" s="7" t="s">
        <v>24</v>
      </c>
      <c r="F180" s="6" t="n">
        <v>3</v>
      </c>
      <c r="G180" s="8" t="n">
        <v>5871</v>
      </c>
      <c r="H180" s="8" t="n">
        <v>17613</v>
      </c>
      <c r="I180" s="8" t="n">
        <v>19403.55</v>
      </c>
    </row>
    <row r="181" customFormat="false" ht="15" hidden="false" customHeight="false" outlineLevel="0" collapsed="false">
      <c r="A181" s="3" t="s">
        <v>220</v>
      </c>
      <c r="B181" s="3" t="s">
        <v>204</v>
      </c>
      <c r="C181" s="3" t="s">
        <v>18</v>
      </c>
      <c r="D181" s="4" t="s">
        <v>64</v>
      </c>
      <c r="E181" s="4" t="s">
        <v>20</v>
      </c>
      <c r="F181" s="3" t="n">
        <v>12</v>
      </c>
      <c r="G181" s="5" t="n">
        <v>1845</v>
      </c>
      <c r="H181" s="5" t="n">
        <v>22140</v>
      </c>
      <c r="I181" s="5" t="n">
        <v>24714.28</v>
      </c>
    </row>
    <row r="182" customFormat="false" ht="15" hidden="false" customHeight="false" outlineLevel="0" collapsed="false">
      <c r="A182" s="6" t="s">
        <v>221</v>
      </c>
      <c r="B182" s="6" t="s">
        <v>204</v>
      </c>
      <c r="C182" s="6" t="s">
        <v>12</v>
      </c>
      <c r="D182" s="7" t="s">
        <v>55</v>
      </c>
      <c r="E182" s="7" t="s">
        <v>20</v>
      </c>
      <c r="F182" s="6" t="n">
        <v>4</v>
      </c>
      <c r="G182" s="8" t="n">
        <v>2031</v>
      </c>
      <c r="H182" s="8" t="n">
        <v>8124</v>
      </c>
      <c r="I182" s="8" t="n">
        <v>7696.96</v>
      </c>
    </row>
    <row r="183" customFormat="false" ht="15" hidden="false" customHeight="false" outlineLevel="0" collapsed="false">
      <c r="A183" s="3" t="s">
        <v>222</v>
      </c>
      <c r="B183" s="3" t="s">
        <v>223</v>
      </c>
      <c r="C183" s="3" t="s">
        <v>28</v>
      </c>
      <c r="D183" s="4" t="s">
        <v>32</v>
      </c>
      <c r="E183" s="4" t="s">
        <v>39</v>
      </c>
      <c r="F183" s="3" t="n">
        <v>4</v>
      </c>
      <c r="G183" s="5" t="n">
        <v>744</v>
      </c>
      <c r="H183" s="5" t="n">
        <v>2976</v>
      </c>
      <c r="I183" s="5" t="n">
        <v>2659.14</v>
      </c>
    </row>
    <row r="184" customFormat="false" ht="15" hidden="false" customHeight="false" outlineLevel="0" collapsed="false">
      <c r="A184" s="6" t="s">
        <v>224</v>
      </c>
      <c r="B184" s="6" t="s">
        <v>223</v>
      </c>
      <c r="C184" s="6" t="s">
        <v>12</v>
      </c>
      <c r="D184" s="7" t="s">
        <v>55</v>
      </c>
      <c r="E184" s="7" t="s">
        <v>16</v>
      </c>
      <c r="F184" s="6" t="n">
        <v>8</v>
      </c>
      <c r="G184" s="8" t="n">
        <v>1630</v>
      </c>
      <c r="H184" s="8" t="n">
        <v>13040</v>
      </c>
      <c r="I184" s="8" t="n">
        <v>10761.74</v>
      </c>
    </row>
    <row r="185" customFormat="false" ht="15" hidden="false" customHeight="false" outlineLevel="0" collapsed="false">
      <c r="A185" s="3" t="s">
        <v>225</v>
      </c>
      <c r="B185" s="3" t="s">
        <v>223</v>
      </c>
      <c r="C185" s="3" t="s">
        <v>22</v>
      </c>
      <c r="D185" s="4" t="s">
        <v>46</v>
      </c>
      <c r="E185" s="4" t="s">
        <v>26</v>
      </c>
      <c r="F185" s="3" t="n">
        <v>4</v>
      </c>
      <c r="G185" s="5" t="n">
        <v>2370</v>
      </c>
      <c r="H185" s="5" t="n">
        <v>9480</v>
      </c>
      <c r="I185" s="5" t="n">
        <v>7755.96</v>
      </c>
    </row>
    <row r="186" customFormat="false" ht="15" hidden="false" customHeight="false" outlineLevel="0" collapsed="false">
      <c r="A186" s="6" t="s">
        <v>226</v>
      </c>
      <c r="B186" s="6" t="s">
        <v>223</v>
      </c>
      <c r="C186" s="6" t="s">
        <v>12</v>
      </c>
      <c r="D186" s="7" t="s">
        <v>55</v>
      </c>
      <c r="E186" s="7" t="s">
        <v>24</v>
      </c>
      <c r="F186" s="6" t="n">
        <v>4</v>
      </c>
      <c r="G186" s="8" t="n">
        <v>5848</v>
      </c>
      <c r="H186" s="8" t="n">
        <v>23392</v>
      </c>
      <c r="I186" s="8" t="n">
        <v>20910.58</v>
      </c>
    </row>
    <row r="187" customFormat="false" ht="15" hidden="false" customHeight="false" outlineLevel="0" collapsed="false">
      <c r="A187" s="3" t="s">
        <v>227</v>
      </c>
      <c r="B187" s="3" t="s">
        <v>223</v>
      </c>
      <c r="C187" s="3" t="s">
        <v>18</v>
      </c>
      <c r="D187" s="4" t="s">
        <v>64</v>
      </c>
      <c r="E187" s="4" t="s">
        <v>24</v>
      </c>
      <c r="F187" s="3" t="n">
        <v>12</v>
      </c>
      <c r="G187" s="5" t="n">
        <v>6142</v>
      </c>
      <c r="H187" s="5" t="n">
        <v>73704</v>
      </c>
      <c r="I187" s="5" t="n">
        <v>86952.46</v>
      </c>
    </row>
    <row r="188" customFormat="false" ht="15" hidden="false" customHeight="false" outlineLevel="0" collapsed="false">
      <c r="A188" s="6" t="s">
        <v>228</v>
      </c>
      <c r="B188" s="6" t="s">
        <v>223</v>
      </c>
      <c r="C188" s="6" t="s">
        <v>22</v>
      </c>
      <c r="D188" s="7" t="s">
        <v>23</v>
      </c>
      <c r="E188" s="7" t="s">
        <v>26</v>
      </c>
      <c r="F188" s="6" t="n">
        <v>4</v>
      </c>
      <c r="G188" s="8" t="n">
        <v>2549</v>
      </c>
      <c r="H188" s="8" t="n">
        <v>10196</v>
      </c>
      <c r="I188" s="8" t="n">
        <v>10667.68</v>
      </c>
    </row>
    <row r="189" customFormat="false" ht="15" hidden="false" customHeight="false" outlineLevel="0" collapsed="false">
      <c r="A189" s="3" t="s">
        <v>229</v>
      </c>
      <c r="B189" s="3" t="s">
        <v>223</v>
      </c>
      <c r="C189" s="3" t="s">
        <v>28</v>
      </c>
      <c r="D189" s="4" t="s">
        <v>29</v>
      </c>
      <c r="E189" s="4" t="s">
        <v>39</v>
      </c>
      <c r="F189" s="3" t="n">
        <v>7</v>
      </c>
      <c r="G189" s="5" t="n">
        <v>626</v>
      </c>
      <c r="H189" s="5" t="n">
        <v>4382</v>
      </c>
      <c r="I189" s="5" t="n">
        <v>4285.06</v>
      </c>
    </row>
    <row r="190" customFormat="false" ht="15" hidden="false" customHeight="false" outlineLevel="0" collapsed="false">
      <c r="A190" s="6" t="s">
        <v>230</v>
      </c>
      <c r="B190" s="6" t="s">
        <v>223</v>
      </c>
      <c r="C190" s="6" t="s">
        <v>18</v>
      </c>
      <c r="D190" s="7" t="s">
        <v>64</v>
      </c>
      <c r="E190" s="7" t="s">
        <v>30</v>
      </c>
      <c r="F190" s="6" t="n">
        <v>12</v>
      </c>
      <c r="G190" s="8" t="n">
        <v>7077</v>
      </c>
      <c r="H190" s="8" t="n">
        <v>84924</v>
      </c>
      <c r="I190" s="8" t="n">
        <v>98569.46</v>
      </c>
    </row>
    <row r="191" customFormat="false" ht="15" hidden="false" customHeight="false" outlineLevel="0" collapsed="false">
      <c r="A191" s="3" t="s">
        <v>231</v>
      </c>
      <c r="B191" s="3" t="s">
        <v>223</v>
      </c>
      <c r="C191" s="3" t="s">
        <v>28</v>
      </c>
      <c r="D191" s="4" t="s">
        <v>29</v>
      </c>
      <c r="E191" s="4" t="s">
        <v>26</v>
      </c>
      <c r="F191" s="3" t="n">
        <v>9</v>
      </c>
      <c r="G191" s="5" t="n">
        <v>2396</v>
      </c>
      <c r="H191" s="5" t="n">
        <v>21564</v>
      </c>
      <c r="I191" s="5" t="n">
        <v>25602.57</v>
      </c>
    </row>
    <row r="192" customFormat="false" ht="15" hidden="false" customHeight="false" outlineLevel="0" collapsed="false">
      <c r="A192" s="6" t="s">
        <v>232</v>
      </c>
      <c r="B192" s="6" t="s">
        <v>223</v>
      </c>
      <c r="C192" s="6" t="s">
        <v>22</v>
      </c>
      <c r="D192" s="7" t="s">
        <v>23</v>
      </c>
      <c r="E192" s="7" t="s">
        <v>37</v>
      </c>
      <c r="F192" s="6" t="n">
        <v>20</v>
      </c>
      <c r="G192" s="8" t="n">
        <v>7309</v>
      </c>
      <c r="H192" s="8" t="n">
        <v>146180</v>
      </c>
      <c r="I192" s="8" t="n">
        <v>119901.43</v>
      </c>
    </row>
    <row r="193" customFormat="false" ht="15" hidden="false" customHeight="false" outlineLevel="0" collapsed="false">
      <c r="A193" s="3" t="s">
        <v>233</v>
      </c>
      <c r="B193" s="3" t="s">
        <v>223</v>
      </c>
      <c r="C193" s="3" t="s">
        <v>28</v>
      </c>
      <c r="D193" s="4" t="s">
        <v>29</v>
      </c>
      <c r="E193" s="4" t="s">
        <v>97</v>
      </c>
      <c r="F193" s="3" t="n">
        <v>19</v>
      </c>
      <c r="G193" s="5" t="n">
        <v>4904</v>
      </c>
      <c r="H193" s="5" t="n">
        <v>93176</v>
      </c>
      <c r="I193" s="5" t="n">
        <v>77097.93</v>
      </c>
    </row>
    <row r="194" customFormat="false" ht="15" hidden="false" customHeight="false" outlineLevel="0" collapsed="false">
      <c r="A194" s="6" t="s">
        <v>234</v>
      </c>
      <c r="B194" s="6" t="s">
        <v>223</v>
      </c>
      <c r="C194" s="6" t="s">
        <v>18</v>
      </c>
      <c r="D194" s="7" t="s">
        <v>19</v>
      </c>
      <c r="E194" s="7" t="s">
        <v>37</v>
      </c>
      <c r="F194" s="6" t="n">
        <v>11</v>
      </c>
      <c r="G194" s="8" t="n">
        <v>7695</v>
      </c>
      <c r="H194" s="8" t="n">
        <v>84645</v>
      </c>
      <c r="I194" s="8" t="n">
        <v>72711.89</v>
      </c>
    </row>
    <row r="195" customFormat="false" ht="15" hidden="false" customHeight="false" outlineLevel="0" collapsed="false">
      <c r="A195" s="3" t="s">
        <v>235</v>
      </c>
      <c r="B195" s="3" t="s">
        <v>223</v>
      </c>
      <c r="C195" s="3" t="s">
        <v>12</v>
      </c>
      <c r="D195" s="4" t="s">
        <v>55</v>
      </c>
      <c r="E195" s="4" t="s">
        <v>97</v>
      </c>
      <c r="F195" s="3" t="n">
        <v>5</v>
      </c>
      <c r="G195" s="5" t="n">
        <v>5075</v>
      </c>
      <c r="H195" s="5" t="n">
        <v>25375</v>
      </c>
      <c r="I195" s="5" t="n">
        <v>22844.14</v>
      </c>
    </row>
    <row r="196" customFormat="false" ht="15" hidden="false" customHeight="false" outlineLevel="0" collapsed="false">
      <c r="A196" s="6" t="s">
        <v>236</v>
      </c>
      <c r="B196" s="6" t="s">
        <v>223</v>
      </c>
      <c r="C196" s="6" t="s">
        <v>18</v>
      </c>
      <c r="D196" s="7" t="s">
        <v>19</v>
      </c>
      <c r="E196" s="7" t="s">
        <v>33</v>
      </c>
      <c r="F196" s="6" t="n">
        <v>5</v>
      </c>
      <c r="G196" s="8" t="n">
        <v>9806</v>
      </c>
      <c r="H196" s="8" t="n">
        <v>49030</v>
      </c>
      <c r="I196" s="8" t="n">
        <v>46249.85</v>
      </c>
    </row>
    <row r="197" customFormat="false" ht="15" hidden="false" customHeight="false" outlineLevel="0" collapsed="false">
      <c r="A197" s="3" t="s">
        <v>237</v>
      </c>
      <c r="B197" s="3" t="s">
        <v>223</v>
      </c>
      <c r="C197" s="3" t="s">
        <v>18</v>
      </c>
      <c r="D197" s="4" t="s">
        <v>64</v>
      </c>
      <c r="E197" s="4" t="s">
        <v>33</v>
      </c>
      <c r="F197" s="3" t="n">
        <v>6</v>
      </c>
      <c r="G197" s="5" t="n">
        <v>9934</v>
      </c>
      <c r="H197" s="5" t="n">
        <v>59604</v>
      </c>
      <c r="I197" s="5" t="n">
        <v>48932.48</v>
      </c>
    </row>
    <row r="198" customFormat="false" ht="15" hidden="false" customHeight="false" outlineLevel="0" collapsed="false">
      <c r="A198" s="6" t="s">
        <v>238</v>
      </c>
      <c r="B198" s="6" t="s">
        <v>223</v>
      </c>
      <c r="C198" s="6" t="s">
        <v>22</v>
      </c>
      <c r="D198" s="7" t="s">
        <v>23</v>
      </c>
      <c r="E198" s="7" t="s">
        <v>30</v>
      </c>
      <c r="F198" s="6" t="n">
        <v>16</v>
      </c>
      <c r="G198" s="8" t="n">
        <v>7028</v>
      </c>
      <c r="H198" s="8" t="n">
        <v>112448</v>
      </c>
      <c r="I198" s="8" t="n">
        <v>124952.98</v>
      </c>
    </row>
    <row r="199" customFormat="false" ht="15" hidden="false" customHeight="false" outlineLevel="0" collapsed="false">
      <c r="A199" s="3" t="s">
        <v>239</v>
      </c>
      <c r="B199" s="3" t="s">
        <v>223</v>
      </c>
      <c r="C199" s="3" t="s">
        <v>12</v>
      </c>
      <c r="D199" s="4" t="s">
        <v>55</v>
      </c>
      <c r="E199" s="4" t="s">
        <v>20</v>
      </c>
      <c r="F199" s="3" t="n">
        <v>8</v>
      </c>
      <c r="G199" s="5" t="n">
        <v>2113</v>
      </c>
      <c r="H199" s="5" t="n">
        <v>16904</v>
      </c>
      <c r="I199" s="5" t="n">
        <v>13816.42</v>
      </c>
    </row>
    <row r="200" customFormat="false" ht="15" hidden="false" customHeight="false" outlineLevel="0" collapsed="false">
      <c r="A200" s="6" t="s">
        <v>240</v>
      </c>
      <c r="B200" s="6" t="s">
        <v>223</v>
      </c>
      <c r="C200" s="6" t="s">
        <v>28</v>
      </c>
      <c r="D200" s="7" t="s">
        <v>32</v>
      </c>
      <c r="E200" s="7" t="s">
        <v>33</v>
      </c>
      <c r="F200" s="6" t="n">
        <v>2</v>
      </c>
      <c r="G200" s="8" t="n">
        <v>10044</v>
      </c>
      <c r="H200" s="8" t="n">
        <v>20088</v>
      </c>
      <c r="I200" s="8" t="n">
        <v>22878.61</v>
      </c>
    </row>
    <row r="201" customFormat="false" ht="15" hidden="false" customHeight="false" outlineLevel="0" collapsed="false">
      <c r="A201" s="3" t="s">
        <v>241</v>
      </c>
      <c r="B201" s="3" t="s">
        <v>242</v>
      </c>
      <c r="C201" s="3" t="s">
        <v>22</v>
      </c>
      <c r="D201" s="4" t="s">
        <v>23</v>
      </c>
      <c r="E201" s="4" t="s">
        <v>24</v>
      </c>
      <c r="F201" s="3" t="n">
        <v>15</v>
      </c>
      <c r="G201" s="5" t="n">
        <v>5836</v>
      </c>
      <c r="H201" s="5" t="n">
        <v>87540</v>
      </c>
      <c r="I201" s="5" t="n">
        <v>101520.73</v>
      </c>
    </row>
    <row r="202" customFormat="false" ht="15" hidden="false" customHeight="false" outlineLevel="0" collapsed="false">
      <c r="A202" s="6" t="s">
        <v>243</v>
      </c>
      <c r="B202" s="6" t="s">
        <v>242</v>
      </c>
      <c r="C202" s="6" t="s">
        <v>28</v>
      </c>
      <c r="D202" s="7" t="s">
        <v>29</v>
      </c>
      <c r="E202" s="7" t="s">
        <v>30</v>
      </c>
      <c r="F202" s="6" t="n">
        <v>5</v>
      </c>
      <c r="G202" s="8" t="n">
        <v>6939</v>
      </c>
      <c r="H202" s="8" t="n">
        <v>34695</v>
      </c>
      <c r="I202" s="8" t="n">
        <v>36420.28</v>
      </c>
    </row>
    <row r="203" customFormat="false" ht="15" hidden="false" customHeight="false" outlineLevel="0" collapsed="false">
      <c r="A203" s="3" t="s">
        <v>244</v>
      </c>
      <c r="B203" s="3" t="s">
        <v>242</v>
      </c>
      <c r="C203" s="3" t="s">
        <v>28</v>
      </c>
      <c r="D203" s="4" t="s">
        <v>32</v>
      </c>
      <c r="E203" s="4" t="s">
        <v>16</v>
      </c>
      <c r="F203" s="3" t="n">
        <v>17</v>
      </c>
      <c r="G203" s="5" t="n">
        <v>1449</v>
      </c>
      <c r="H203" s="5" t="n">
        <v>24633</v>
      </c>
      <c r="I203" s="5" t="n">
        <v>24176.95</v>
      </c>
    </row>
    <row r="204" customFormat="false" ht="15" hidden="false" customHeight="false" outlineLevel="0" collapsed="false">
      <c r="A204" s="6" t="s">
        <v>245</v>
      </c>
      <c r="B204" s="6" t="s">
        <v>242</v>
      </c>
      <c r="C204" s="6" t="s">
        <v>22</v>
      </c>
      <c r="D204" s="7" t="s">
        <v>23</v>
      </c>
      <c r="E204" s="7" t="s">
        <v>30</v>
      </c>
      <c r="F204" s="6" t="n">
        <v>18</v>
      </c>
      <c r="G204" s="8" t="n">
        <v>7168</v>
      </c>
      <c r="H204" s="8" t="n">
        <v>129024</v>
      </c>
      <c r="I204" s="8" t="n">
        <v>147886.91</v>
      </c>
    </row>
    <row r="205" customFormat="false" ht="15" hidden="false" customHeight="false" outlineLevel="0" collapsed="false">
      <c r="A205" s="3" t="s">
        <v>246</v>
      </c>
      <c r="B205" s="3" t="s">
        <v>242</v>
      </c>
      <c r="C205" s="3" t="s">
        <v>22</v>
      </c>
      <c r="D205" s="4" t="s">
        <v>46</v>
      </c>
      <c r="E205" s="4" t="s">
        <v>37</v>
      </c>
      <c r="F205" s="3" t="n">
        <v>14</v>
      </c>
      <c r="G205" s="5" t="n">
        <v>7472</v>
      </c>
      <c r="H205" s="5" t="n">
        <v>104608</v>
      </c>
      <c r="I205" s="5" t="n">
        <v>118308.27</v>
      </c>
    </row>
    <row r="206" customFormat="false" ht="15" hidden="false" customHeight="false" outlineLevel="0" collapsed="false">
      <c r="A206" s="6" t="s">
        <v>247</v>
      </c>
      <c r="B206" s="6" t="s">
        <v>242</v>
      </c>
      <c r="C206" s="6" t="s">
        <v>22</v>
      </c>
      <c r="D206" s="7" t="s">
        <v>46</v>
      </c>
      <c r="E206" s="7" t="s">
        <v>30</v>
      </c>
      <c r="F206" s="6" t="n">
        <v>11</v>
      </c>
      <c r="G206" s="8" t="n">
        <v>7017</v>
      </c>
      <c r="H206" s="8" t="n">
        <v>77187</v>
      </c>
      <c r="I206" s="8" t="n">
        <v>71398.7</v>
      </c>
    </row>
    <row r="207" customFormat="false" ht="15" hidden="false" customHeight="false" outlineLevel="0" collapsed="false">
      <c r="A207" s="3" t="s">
        <v>248</v>
      </c>
      <c r="B207" s="3" t="s">
        <v>242</v>
      </c>
      <c r="C207" s="3" t="s">
        <v>28</v>
      </c>
      <c r="D207" s="4" t="s">
        <v>32</v>
      </c>
      <c r="E207" s="4" t="s">
        <v>97</v>
      </c>
      <c r="F207" s="3" t="n">
        <v>16</v>
      </c>
      <c r="G207" s="5" t="n">
        <v>4833</v>
      </c>
      <c r="H207" s="5" t="n">
        <v>77328</v>
      </c>
      <c r="I207" s="5" t="n">
        <v>64684.09</v>
      </c>
    </row>
    <row r="208" customFormat="false" ht="15" hidden="false" customHeight="false" outlineLevel="0" collapsed="false">
      <c r="A208" s="6" t="s">
        <v>249</v>
      </c>
      <c r="B208" s="6" t="s">
        <v>242</v>
      </c>
      <c r="C208" s="6" t="s">
        <v>12</v>
      </c>
      <c r="D208" s="7" t="s">
        <v>13</v>
      </c>
      <c r="E208" s="7" t="s">
        <v>26</v>
      </c>
      <c r="F208" s="6" t="n">
        <v>4</v>
      </c>
      <c r="G208" s="8" t="n">
        <v>2680</v>
      </c>
      <c r="H208" s="8" t="n">
        <v>10720</v>
      </c>
      <c r="I208" s="8" t="n">
        <v>11743.96</v>
      </c>
    </row>
    <row r="209" customFormat="false" ht="15" hidden="false" customHeight="false" outlineLevel="0" collapsed="false">
      <c r="A209" s="3" t="s">
        <v>250</v>
      </c>
      <c r="B209" s="3" t="s">
        <v>242</v>
      </c>
      <c r="C209" s="3" t="s">
        <v>18</v>
      </c>
      <c r="D209" s="4" t="s">
        <v>19</v>
      </c>
      <c r="E209" s="4" t="s">
        <v>16</v>
      </c>
      <c r="F209" s="3" t="n">
        <v>18</v>
      </c>
      <c r="G209" s="5" t="n">
        <v>1586</v>
      </c>
      <c r="H209" s="5" t="n">
        <v>28548</v>
      </c>
      <c r="I209" s="5" t="n">
        <v>26602.69</v>
      </c>
    </row>
    <row r="210" customFormat="false" ht="15" hidden="false" customHeight="false" outlineLevel="0" collapsed="false">
      <c r="A210" s="6" t="s">
        <v>251</v>
      </c>
      <c r="B210" s="6" t="s">
        <v>242</v>
      </c>
      <c r="C210" s="6" t="s">
        <v>12</v>
      </c>
      <c r="D210" s="7" t="s">
        <v>55</v>
      </c>
      <c r="E210" s="7" t="s">
        <v>39</v>
      </c>
      <c r="F210" s="6" t="n">
        <v>14</v>
      </c>
      <c r="G210" s="8" t="n">
        <v>768</v>
      </c>
      <c r="H210" s="8" t="n">
        <v>10752</v>
      </c>
      <c r="I210" s="8" t="n">
        <v>8822.86</v>
      </c>
    </row>
    <row r="211" customFormat="false" ht="15" hidden="false" customHeight="false" outlineLevel="0" collapsed="false">
      <c r="A211" s="3" t="s">
        <v>252</v>
      </c>
      <c r="B211" s="3" t="s">
        <v>242</v>
      </c>
      <c r="C211" s="3" t="s">
        <v>28</v>
      </c>
      <c r="D211" s="4" t="s">
        <v>32</v>
      </c>
      <c r="E211" s="4" t="s">
        <v>39</v>
      </c>
      <c r="F211" s="3" t="n">
        <v>4</v>
      </c>
      <c r="G211" s="5" t="n">
        <v>694</v>
      </c>
      <c r="H211" s="5" t="n">
        <v>2776</v>
      </c>
      <c r="I211" s="5" t="n">
        <v>2784.23</v>
      </c>
    </row>
    <row r="212" customFormat="false" ht="15" hidden="false" customHeight="false" outlineLevel="0" collapsed="false">
      <c r="A212" s="6" t="s">
        <v>253</v>
      </c>
      <c r="B212" s="6" t="s">
        <v>242</v>
      </c>
      <c r="C212" s="6" t="s">
        <v>18</v>
      </c>
      <c r="D212" s="7" t="s">
        <v>64</v>
      </c>
      <c r="E212" s="7" t="s">
        <v>37</v>
      </c>
      <c r="F212" s="6" t="n">
        <v>4</v>
      </c>
      <c r="G212" s="8" t="n">
        <v>7478</v>
      </c>
      <c r="H212" s="8" t="n">
        <v>29912</v>
      </c>
      <c r="I212" s="8" t="n">
        <v>34044.32</v>
      </c>
    </row>
    <row r="213" customFormat="false" ht="15" hidden="false" customHeight="false" outlineLevel="0" collapsed="false">
      <c r="A213" s="3" t="s">
        <v>254</v>
      </c>
      <c r="B213" s="3" t="s">
        <v>242</v>
      </c>
      <c r="C213" s="3" t="s">
        <v>28</v>
      </c>
      <c r="D213" s="4" t="s">
        <v>29</v>
      </c>
      <c r="E213" s="4" t="s">
        <v>14</v>
      </c>
      <c r="F213" s="3" t="n">
        <v>19</v>
      </c>
      <c r="G213" s="5" t="n">
        <v>914</v>
      </c>
      <c r="H213" s="5" t="n">
        <v>17366</v>
      </c>
      <c r="I213" s="5" t="n">
        <v>19500.08</v>
      </c>
    </row>
    <row r="214" customFormat="false" ht="15" hidden="false" customHeight="false" outlineLevel="0" collapsed="false">
      <c r="A214" s="6" t="s">
        <v>255</v>
      </c>
      <c r="B214" s="6" t="s">
        <v>242</v>
      </c>
      <c r="C214" s="6" t="s">
        <v>12</v>
      </c>
      <c r="D214" s="7" t="s">
        <v>55</v>
      </c>
      <c r="E214" s="7" t="s">
        <v>33</v>
      </c>
      <c r="F214" s="6" t="n">
        <v>6</v>
      </c>
      <c r="G214" s="8" t="n">
        <v>9938</v>
      </c>
      <c r="H214" s="8" t="n">
        <v>59628</v>
      </c>
      <c r="I214" s="8" t="n">
        <v>64462.61</v>
      </c>
    </row>
    <row r="215" customFormat="false" ht="15" hidden="false" customHeight="false" outlineLevel="0" collapsed="false">
      <c r="A215" s="3" t="s">
        <v>256</v>
      </c>
      <c r="B215" s="3" t="s">
        <v>242</v>
      </c>
      <c r="C215" s="3" t="s">
        <v>28</v>
      </c>
      <c r="D215" s="4" t="s">
        <v>32</v>
      </c>
      <c r="E215" s="4" t="s">
        <v>39</v>
      </c>
      <c r="F215" s="3" t="n">
        <v>1</v>
      </c>
      <c r="G215" s="5" t="n">
        <v>491</v>
      </c>
      <c r="H215" s="5" t="n">
        <v>491</v>
      </c>
      <c r="I215" s="5" t="n">
        <v>563.64</v>
      </c>
    </row>
    <row r="216" customFormat="false" ht="15" hidden="false" customHeight="false" outlineLevel="0" collapsed="false">
      <c r="A216" s="6" t="s">
        <v>257</v>
      </c>
      <c r="B216" s="6" t="s">
        <v>242</v>
      </c>
      <c r="C216" s="6" t="s">
        <v>22</v>
      </c>
      <c r="D216" s="7" t="s">
        <v>23</v>
      </c>
      <c r="E216" s="7" t="s">
        <v>97</v>
      </c>
      <c r="F216" s="6" t="n">
        <v>1</v>
      </c>
      <c r="G216" s="8" t="n">
        <v>4845</v>
      </c>
      <c r="H216" s="8" t="n">
        <v>4845</v>
      </c>
      <c r="I216" s="8" t="n">
        <v>5321.96</v>
      </c>
    </row>
    <row r="217" customFormat="false" ht="15" hidden="false" customHeight="false" outlineLevel="0" collapsed="false">
      <c r="A217" s="3" t="s">
        <v>258</v>
      </c>
      <c r="B217" s="3" t="s">
        <v>242</v>
      </c>
      <c r="C217" s="3" t="s">
        <v>18</v>
      </c>
      <c r="D217" s="4" t="s">
        <v>64</v>
      </c>
      <c r="E217" s="4" t="s">
        <v>26</v>
      </c>
      <c r="F217" s="3" t="n">
        <v>15</v>
      </c>
      <c r="G217" s="5" t="n">
        <v>2473</v>
      </c>
      <c r="H217" s="5" t="n">
        <v>37095</v>
      </c>
      <c r="I217" s="5" t="n">
        <v>32011.64</v>
      </c>
    </row>
    <row r="218" customFormat="false" ht="15" hidden="false" customHeight="false" outlineLevel="0" collapsed="false">
      <c r="A218" s="6" t="s">
        <v>259</v>
      </c>
      <c r="B218" s="6" t="s">
        <v>242</v>
      </c>
      <c r="C218" s="6" t="s">
        <v>28</v>
      </c>
      <c r="D218" s="7" t="s">
        <v>32</v>
      </c>
      <c r="E218" s="7" t="s">
        <v>16</v>
      </c>
      <c r="F218" s="6" t="n">
        <v>20</v>
      </c>
      <c r="G218" s="8" t="n">
        <v>1342</v>
      </c>
      <c r="H218" s="8" t="n">
        <v>26840</v>
      </c>
      <c r="I218" s="8" t="n">
        <v>30955.56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9" min="5" style="0" width="22"/>
  </cols>
  <sheetData>
    <row r="1" customFormat="false" ht="25.5" hidden="false" customHeight="true" outlineLevel="0" collapsed="false">
      <c r="A1" s="9" t="s">
        <v>260</v>
      </c>
      <c r="B1" s="9"/>
      <c r="C1" s="9"/>
      <c r="E1" s="9" t="s">
        <v>261</v>
      </c>
      <c r="F1" s="9"/>
      <c r="G1" s="9"/>
      <c r="H1" s="9"/>
      <c r="I1" s="9"/>
    </row>
    <row r="2" customFormat="false" ht="26.85" hidden="false" customHeight="false" outlineLevel="0" collapsed="false">
      <c r="A2" s="2" t="s">
        <v>5</v>
      </c>
      <c r="B2" s="2" t="s">
        <v>262</v>
      </c>
      <c r="C2" s="2" t="s">
        <v>263</v>
      </c>
      <c r="E2" s="2" t="s">
        <v>1</v>
      </c>
      <c r="F2" s="2" t="s">
        <v>2</v>
      </c>
      <c r="G2" s="2" t="s">
        <v>5</v>
      </c>
      <c r="H2" s="2" t="s">
        <v>264</v>
      </c>
      <c r="I2" s="2" t="s">
        <v>265</v>
      </c>
    </row>
    <row r="3" customFormat="false" ht="15" hidden="false" customHeight="false" outlineLevel="0" collapsed="false">
      <c r="A3" s="4" t="s">
        <v>33</v>
      </c>
      <c r="B3" s="3" t="s">
        <v>266</v>
      </c>
      <c r="C3" s="10" t="n">
        <v>9999</v>
      </c>
      <c r="E3" s="3" t="s">
        <v>10</v>
      </c>
      <c r="F3" s="3" t="s">
        <v>11</v>
      </c>
      <c r="G3" s="4" t="s">
        <v>14</v>
      </c>
      <c r="H3" s="3" t="str">
        <f aca="false">VLOOKUP(G3,$A$3:$C$12,2,FALSE())</f>
        <v>Accessories</v>
      </c>
      <c r="I3" s="10" t="n">
        <f aca="false">VLOOKUP(G3,$A$3:$C$12,3,FALSE())</f>
        <v>999</v>
      </c>
    </row>
    <row r="4" customFormat="false" ht="15" hidden="false" customHeight="false" outlineLevel="0" collapsed="false">
      <c r="A4" s="7" t="s">
        <v>30</v>
      </c>
      <c r="B4" s="6" t="s">
        <v>266</v>
      </c>
      <c r="C4" s="11" t="n">
        <v>6999</v>
      </c>
      <c r="E4" s="12" t="s">
        <v>15</v>
      </c>
      <c r="F4" s="12" t="s">
        <v>11</v>
      </c>
      <c r="G4" s="13" t="s">
        <v>16</v>
      </c>
      <c r="H4" s="12" t="str">
        <f aca="false">VLOOKUP(G4,$A$3:$C$12,2,FALSE())</f>
        <v>Peripherals</v>
      </c>
      <c r="I4" s="14" t="n">
        <f aca="false">VLOOKUP(G4,$A$3:$C$12,3,FALSE())</f>
        <v>1499</v>
      </c>
    </row>
    <row r="5" customFormat="false" ht="15" hidden="false" customHeight="false" outlineLevel="0" collapsed="false">
      <c r="A5" s="4" t="s">
        <v>97</v>
      </c>
      <c r="B5" s="3" t="s">
        <v>266</v>
      </c>
      <c r="C5" s="10" t="n">
        <v>4999</v>
      </c>
      <c r="E5" s="3" t="s">
        <v>17</v>
      </c>
      <c r="F5" s="3" t="s">
        <v>11</v>
      </c>
      <c r="G5" s="4" t="s">
        <v>20</v>
      </c>
      <c r="H5" s="3" t="str">
        <f aca="false">VLOOKUP(G5,$A$3:$C$12,2,FALSE())</f>
        <v>Peripherals</v>
      </c>
      <c r="I5" s="10" t="n">
        <f aca="false">VLOOKUP(G5,$A$3:$C$12,3,FALSE())</f>
        <v>1999</v>
      </c>
    </row>
    <row r="6" customFormat="false" ht="15" hidden="false" customHeight="false" outlineLevel="0" collapsed="false">
      <c r="A6" s="7" t="s">
        <v>37</v>
      </c>
      <c r="B6" s="6" t="s">
        <v>266</v>
      </c>
      <c r="C6" s="11" t="n">
        <v>7499</v>
      </c>
      <c r="E6" s="12" t="s">
        <v>21</v>
      </c>
      <c r="F6" s="12" t="s">
        <v>11</v>
      </c>
      <c r="G6" s="13" t="s">
        <v>24</v>
      </c>
      <c r="H6" s="12" t="str">
        <f aca="false">VLOOKUP(G6,$A$3:$C$12,2,FALSE())</f>
        <v>Peripherals</v>
      </c>
      <c r="I6" s="14" t="n">
        <f aca="false">VLOOKUP(G6,$A$3:$C$12,3,FALSE())</f>
        <v>5999</v>
      </c>
    </row>
    <row r="7" customFormat="false" ht="15" hidden="false" customHeight="false" outlineLevel="0" collapsed="false">
      <c r="A7" s="4" t="s">
        <v>14</v>
      </c>
      <c r="B7" s="3" t="s">
        <v>267</v>
      </c>
      <c r="C7" s="10" t="n">
        <v>999</v>
      </c>
      <c r="E7" s="3" t="s">
        <v>25</v>
      </c>
      <c r="F7" s="3" t="s">
        <v>11</v>
      </c>
      <c r="G7" s="4" t="s">
        <v>26</v>
      </c>
      <c r="H7" s="3" t="str">
        <f aca="false">VLOOKUP(G7,$A$3:$C$12,2,FALSE())</f>
        <v>Accessories</v>
      </c>
      <c r="I7" s="10" t="n">
        <f aca="false">VLOOKUP(G7,$A$3:$C$12,3,FALSE())</f>
        <v>2499</v>
      </c>
    </row>
    <row r="8" customFormat="false" ht="15" hidden="false" customHeight="false" outlineLevel="0" collapsed="false">
      <c r="A8" s="7" t="s">
        <v>39</v>
      </c>
      <c r="B8" s="6" t="s">
        <v>267</v>
      </c>
      <c r="C8" s="11" t="n">
        <v>599</v>
      </c>
      <c r="E8" s="12" t="s">
        <v>27</v>
      </c>
      <c r="F8" s="12" t="s">
        <v>11</v>
      </c>
      <c r="G8" s="13" t="s">
        <v>30</v>
      </c>
      <c r="H8" s="12" t="str">
        <f aca="false">VLOOKUP(G8,$A$3:$C$12,2,FALSE())</f>
        <v>Electronics</v>
      </c>
      <c r="I8" s="14" t="n">
        <f aca="false">VLOOKUP(G8,$A$3:$C$12,3,FALSE())</f>
        <v>6999</v>
      </c>
    </row>
    <row r="9" customFormat="false" ht="15" hidden="false" customHeight="false" outlineLevel="0" collapsed="false">
      <c r="A9" s="4" t="s">
        <v>26</v>
      </c>
      <c r="B9" s="3" t="s">
        <v>267</v>
      </c>
      <c r="C9" s="10" t="n">
        <v>2499</v>
      </c>
      <c r="E9" s="3" t="s">
        <v>31</v>
      </c>
      <c r="F9" s="3" t="s">
        <v>11</v>
      </c>
      <c r="G9" s="4" t="s">
        <v>33</v>
      </c>
      <c r="H9" s="3" t="str">
        <f aca="false">VLOOKUP(G9,$A$3:$C$12,2,FALSE())</f>
        <v>Electronics</v>
      </c>
      <c r="I9" s="10" t="n">
        <f aca="false">VLOOKUP(G9,$A$3:$C$12,3,FALSE())</f>
        <v>9999</v>
      </c>
    </row>
    <row r="10" customFormat="false" ht="15" hidden="false" customHeight="false" outlineLevel="0" collapsed="false">
      <c r="A10" s="7" t="s">
        <v>24</v>
      </c>
      <c r="B10" s="6" t="s">
        <v>268</v>
      </c>
      <c r="C10" s="11" t="n">
        <v>5999</v>
      </c>
      <c r="E10" s="12" t="s">
        <v>34</v>
      </c>
      <c r="F10" s="12" t="s">
        <v>11</v>
      </c>
      <c r="G10" s="13" t="s">
        <v>20</v>
      </c>
      <c r="H10" s="12" t="str">
        <f aca="false">VLOOKUP(G10,$A$3:$C$12,2,FALSE())</f>
        <v>Peripherals</v>
      </c>
      <c r="I10" s="14" t="n">
        <f aca="false">VLOOKUP(G10,$A$3:$C$12,3,FALSE())</f>
        <v>1999</v>
      </c>
    </row>
    <row r="11" customFormat="false" ht="15" hidden="false" customHeight="false" outlineLevel="0" collapsed="false">
      <c r="A11" s="4" t="s">
        <v>20</v>
      </c>
      <c r="B11" s="3" t="s">
        <v>268</v>
      </c>
      <c r="C11" s="10" t="n">
        <v>1999</v>
      </c>
      <c r="E11" s="3" t="s">
        <v>35</v>
      </c>
      <c r="F11" s="3" t="s">
        <v>11</v>
      </c>
      <c r="G11" s="4" t="s">
        <v>30</v>
      </c>
      <c r="H11" s="3" t="str">
        <f aca="false">VLOOKUP(G11,$A$3:$C$12,2,FALSE())</f>
        <v>Electronics</v>
      </c>
      <c r="I11" s="10" t="n">
        <f aca="false">VLOOKUP(G11,$A$3:$C$12,3,FALSE())</f>
        <v>6999</v>
      </c>
    </row>
    <row r="12" customFormat="false" ht="15" hidden="false" customHeight="false" outlineLevel="0" collapsed="false">
      <c r="A12" s="7" t="s">
        <v>16</v>
      </c>
      <c r="B12" s="6" t="s">
        <v>268</v>
      </c>
      <c r="C12" s="11" t="n">
        <v>1499</v>
      </c>
      <c r="E12" s="12" t="s">
        <v>36</v>
      </c>
      <c r="F12" s="12" t="s">
        <v>11</v>
      </c>
      <c r="G12" s="13" t="s">
        <v>37</v>
      </c>
      <c r="H12" s="12" t="str">
        <f aca="false">VLOOKUP(G12,$A$3:$C$12,2,FALSE())</f>
        <v>Electronics</v>
      </c>
      <c r="I12" s="14" t="n">
        <f aca="false">VLOOKUP(G12,$A$3:$C$12,3,FALSE())</f>
        <v>7499</v>
      </c>
    </row>
    <row r="13" customFormat="false" ht="15" hidden="false" customHeight="false" outlineLevel="0" collapsed="false">
      <c r="E13" s="3" t="s">
        <v>38</v>
      </c>
      <c r="F13" s="3" t="s">
        <v>11</v>
      </c>
      <c r="G13" s="4" t="s">
        <v>39</v>
      </c>
      <c r="H13" s="3" t="str">
        <f aca="false">VLOOKUP(G13,$A$3:$C$12,2,FALSE())</f>
        <v>Accessories</v>
      </c>
      <c r="I13" s="10" t="n">
        <f aca="false">VLOOKUP(G13,$A$3:$C$12,3,FALSE())</f>
        <v>599</v>
      </c>
    </row>
    <row r="14" customFormat="false" ht="15" hidden="false" customHeight="false" outlineLevel="0" collapsed="false">
      <c r="E14" s="12" t="s">
        <v>40</v>
      </c>
      <c r="F14" s="12" t="s">
        <v>11</v>
      </c>
      <c r="G14" s="13" t="s">
        <v>20</v>
      </c>
      <c r="H14" s="12" t="str">
        <f aca="false">VLOOKUP(G14,$A$3:$C$12,2,FALSE())</f>
        <v>Peripherals</v>
      </c>
      <c r="I14" s="14" t="n">
        <f aca="false">VLOOKUP(G14,$A$3:$C$12,3,FALSE())</f>
        <v>1999</v>
      </c>
    </row>
    <row r="15" customFormat="false" ht="15" hidden="false" customHeight="false" outlineLevel="0" collapsed="false">
      <c r="E15" s="3" t="s">
        <v>41</v>
      </c>
      <c r="F15" s="3" t="s">
        <v>11</v>
      </c>
      <c r="G15" s="4" t="s">
        <v>39</v>
      </c>
      <c r="H15" s="3" t="str">
        <f aca="false">VLOOKUP(G15,$A$3:$C$12,2,FALSE())</f>
        <v>Accessories</v>
      </c>
      <c r="I15" s="10" t="n">
        <f aca="false">VLOOKUP(G15,$A$3:$C$12,3,FALSE())</f>
        <v>599</v>
      </c>
    </row>
    <row r="16" customFormat="false" ht="15" hidden="false" customHeight="false" outlineLevel="0" collapsed="false">
      <c r="E16" s="12" t="s">
        <v>42</v>
      </c>
      <c r="F16" s="12" t="s">
        <v>11</v>
      </c>
      <c r="G16" s="13" t="s">
        <v>14</v>
      </c>
      <c r="H16" s="12" t="str">
        <f aca="false">VLOOKUP(G16,$A$3:$C$12,2,FALSE())</f>
        <v>Accessories</v>
      </c>
      <c r="I16" s="14" t="n">
        <f aca="false">VLOOKUP(G16,$A$3:$C$12,3,FALSE())</f>
        <v>999</v>
      </c>
    </row>
    <row r="17" customFormat="false" ht="15" hidden="false" customHeight="false" outlineLevel="0" collapsed="false">
      <c r="E17" s="3" t="s">
        <v>43</v>
      </c>
      <c r="F17" s="3" t="s">
        <v>11</v>
      </c>
      <c r="G17" s="4" t="s">
        <v>24</v>
      </c>
      <c r="H17" s="3" t="str">
        <f aca="false">VLOOKUP(G17,$A$3:$C$12,2,FALSE())</f>
        <v>Peripherals</v>
      </c>
      <c r="I17" s="10" t="n">
        <f aca="false">VLOOKUP(G17,$A$3:$C$12,3,FALSE())</f>
        <v>5999</v>
      </c>
    </row>
    <row r="18" customFormat="false" ht="15" hidden="false" customHeight="false" outlineLevel="0" collapsed="false">
      <c r="E18" s="12" t="s">
        <v>44</v>
      </c>
      <c r="F18" s="12" t="s">
        <v>11</v>
      </c>
      <c r="G18" s="13" t="s">
        <v>37</v>
      </c>
      <c r="H18" s="12" t="str">
        <f aca="false">VLOOKUP(G18,$A$3:$C$12,2,FALSE())</f>
        <v>Electronics</v>
      </c>
      <c r="I18" s="14" t="n">
        <f aca="false">VLOOKUP(G18,$A$3:$C$12,3,FALSE())</f>
        <v>7499</v>
      </c>
    </row>
    <row r="19" customFormat="false" ht="15" hidden="false" customHeight="false" outlineLevel="0" collapsed="false">
      <c r="E19" s="3" t="s">
        <v>45</v>
      </c>
      <c r="F19" s="3" t="s">
        <v>11</v>
      </c>
      <c r="G19" s="4" t="s">
        <v>39</v>
      </c>
      <c r="H19" s="3" t="str">
        <f aca="false">VLOOKUP(G19,$A$3:$C$12,2,FALSE())</f>
        <v>Accessories</v>
      </c>
      <c r="I19" s="10" t="n">
        <f aca="false">VLOOKUP(G19,$A$3:$C$12,3,FALSE())</f>
        <v>599</v>
      </c>
    </row>
    <row r="20" customFormat="false" ht="15" hidden="false" customHeight="false" outlineLevel="0" collapsed="false">
      <c r="E20" s="12" t="s">
        <v>47</v>
      </c>
      <c r="F20" s="12" t="s">
        <v>11</v>
      </c>
      <c r="G20" s="13" t="s">
        <v>30</v>
      </c>
      <c r="H20" s="12" t="str">
        <f aca="false">VLOOKUP(G20,$A$3:$C$12,2,FALSE())</f>
        <v>Electronics</v>
      </c>
      <c r="I20" s="14" t="n">
        <f aca="false">VLOOKUP(G20,$A$3:$C$12,3,FALSE())</f>
        <v>6999</v>
      </c>
    </row>
    <row r="21" customFormat="false" ht="15" hidden="false" customHeight="false" outlineLevel="0" collapsed="false">
      <c r="E21" s="3" t="s">
        <v>48</v>
      </c>
      <c r="F21" s="3" t="s">
        <v>49</v>
      </c>
      <c r="G21" s="4" t="s">
        <v>26</v>
      </c>
      <c r="H21" s="3" t="str">
        <f aca="false">VLOOKUP(G21,$A$3:$C$12,2,FALSE())</f>
        <v>Accessories</v>
      </c>
      <c r="I21" s="10" t="n">
        <f aca="false">VLOOKUP(G21,$A$3:$C$12,3,FALSE())</f>
        <v>2499</v>
      </c>
    </row>
    <row r="22" customFormat="false" ht="15" hidden="false" customHeight="false" outlineLevel="0" collapsed="false">
      <c r="E22" s="12" t="s">
        <v>50</v>
      </c>
      <c r="F22" s="12" t="s">
        <v>49</v>
      </c>
      <c r="G22" s="13" t="s">
        <v>30</v>
      </c>
      <c r="H22" s="12" t="str">
        <f aca="false">VLOOKUP(G22,$A$3:$C$12,2,FALSE())</f>
        <v>Electronics</v>
      </c>
      <c r="I22" s="14" t="n">
        <f aca="false">VLOOKUP(G22,$A$3:$C$12,3,FALSE())</f>
        <v>6999</v>
      </c>
    </row>
    <row r="23" customFormat="false" ht="15" hidden="false" customHeight="false" outlineLevel="0" collapsed="false">
      <c r="E23" s="3" t="s">
        <v>51</v>
      </c>
      <c r="F23" s="3" t="s">
        <v>49</v>
      </c>
      <c r="G23" s="4" t="s">
        <v>14</v>
      </c>
      <c r="H23" s="3" t="str">
        <f aca="false">VLOOKUP(G23,$A$3:$C$12,2,FALSE())</f>
        <v>Accessories</v>
      </c>
      <c r="I23" s="10" t="n">
        <f aca="false">VLOOKUP(G23,$A$3:$C$12,3,FALSE())</f>
        <v>999</v>
      </c>
    </row>
    <row r="24" customFormat="false" ht="15" hidden="false" customHeight="false" outlineLevel="0" collapsed="false">
      <c r="E24" s="12" t="s">
        <v>52</v>
      </c>
      <c r="F24" s="12" t="s">
        <v>49</v>
      </c>
      <c r="G24" s="13" t="s">
        <v>20</v>
      </c>
      <c r="H24" s="12" t="str">
        <f aca="false">VLOOKUP(G24,$A$3:$C$12,2,FALSE())</f>
        <v>Peripherals</v>
      </c>
      <c r="I24" s="14" t="n">
        <f aca="false">VLOOKUP(G24,$A$3:$C$12,3,FALSE())</f>
        <v>1999</v>
      </c>
    </row>
    <row r="25" customFormat="false" ht="15" hidden="false" customHeight="false" outlineLevel="0" collapsed="false">
      <c r="E25" s="3" t="s">
        <v>53</v>
      </c>
      <c r="F25" s="3" t="s">
        <v>49</v>
      </c>
      <c r="G25" s="4" t="s">
        <v>39</v>
      </c>
      <c r="H25" s="3" t="str">
        <f aca="false">VLOOKUP(G25,$A$3:$C$12,2,FALSE())</f>
        <v>Accessories</v>
      </c>
      <c r="I25" s="10" t="n">
        <f aca="false">VLOOKUP(G25,$A$3:$C$12,3,FALSE())</f>
        <v>599</v>
      </c>
    </row>
    <row r="26" customFormat="false" ht="15" hidden="false" customHeight="false" outlineLevel="0" collapsed="false">
      <c r="E26" s="12" t="s">
        <v>54</v>
      </c>
      <c r="F26" s="12" t="s">
        <v>49</v>
      </c>
      <c r="G26" s="13" t="s">
        <v>24</v>
      </c>
      <c r="H26" s="12" t="str">
        <f aca="false">VLOOKUP(G26,$A$3:$C$12,2,FALSE())</f>
        <v>Peripherals</v>
      </c>
      <c r="I26" s="14" t="n">
        <f aca="false">VLOOKUP(G26,$A$3:$C$12,3,FALSE())</f>
        <v>5999</v>
      </c>
    </row>
    <row r="27" customFormat="false" ht="15" hidden="false" customHeight="false" outlineLevel="0" collapsed="false">
      <c r="E27" s="3" t="s">
        <v>56</v>
      </c>
      <c r="F27" s="3" t="s">
        <v>49</v>
      </c>
      <c r="G27" s="4" t="s">
        <v>33</v>
      </c>
      <c r="H27" s="3" t="str">
        <f aca="false">VLOOKUP(G27,$A$3:$C$12,2,FALSE())</f>
        <v>Electronics</v>
      </c>
      <c r="I27" s="10" t="n">
        <f aca="false">VLOOKUP(G27,$A$3:$C$12,3,FALSE())</f>
        <v>9999</v>
      </c>
    </row>
    <row r="30" customFormat="false" ht="36" hidden="false" customHeight="true" outlineLevel="0" collapsed="false">
      <c r="E30" s="15" t="s">
        <v>269</v>
      </c>
      <c r="F30" s="15"/>
      <c r="G30" s="15"/>
      <c r="H30" s="15"/>
      <c r="I30" s="15"/>
    </row>
  </sheetData>
  <mergeCells count="3">
    <mergeCell ref="A1:C1"/>
    <mergeCell ref="E1:I1"/>
    <mergeCell ref="E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2"/>
    <col collapsed="false" customWidth="true" hidden="false" outlineLevel="0" max="9" min="6" style="0" width="20"/>
  </cols>
  <sheetData>
    <row r="1" customFormat="false" ht="25.5" hidden="false" customHeight="true" outlineLevel="0" collapsed="false">
      <c r="A1" s="9" t="s">
        <v>270</v>
      </c>
      <c r="B1" s="9"/>
      <c r="C1" s="9"/>
      <c r="D1" s="9"/>
      <c r="F1" s="9" t="s">
        <v>271</v>
      </c>
      <c r="G1" s="9"/>
      <c r="H1" s="9"/>
      <c r="I1" s="9"/>
    </row>
    <row r="2" customFormat="false" ht="26.85" hidden="false" customHeight="false" outlineLevel="0" collapsed="false">
      <c r="A2" s="2" t="s">
        <v>5</v>
      </c>
      <c r="B2" s="2" t="s">
        <v>272</v>
      </c>
      <c r="C2" s="2" t="s">
        <v>273</v>
      </c>
      <c r="D2" s="2" t="s">
        <v>274</v>
      </c>
      <c r="F2" s="2" t="s">
        <v>3</v>
      </c>
      <c r="G2" s="2" t="s">
        <v>8</v>
      </c>
      <c r="H2" s="2" t="s">
        <v>275</v>
      </c>
      <c r="I2" s="2" t="s">
        <v>276</v>
      </c>
    </row>
    <row r="3" customFormat="false" ht="15" hidden="false" customHeight="false" outlineLevel="0" collapsed="false">
      <c r="A3" s="4" t="s">
        <v>33</v>
      </c>
      <c r="B3" s="3" t="n">
        <f aca="false">COUNTIF('Sales Data'!E:E,A3)</f>
        <v>17</v>
      </c>
      <c r="C3" s="3" t="n">
        <f aca="false">COUNTIFS('Sales Data'!E:E,A3,'Sales Data'!F:F,"&gt;"&amp;10)</f>
        <v>5</v>
      </c>
      <c r="D3" s="3" t="n">
        <f aca="false">COUNTIFS('Sales Data'!E:E,A3,'Sales Data'!C:C,"North")</f>
        <v>3</v>
      </c>
      <c r="F3" s="4" t="s">
        <v>12</v>
      </c>
      <c r="G3" s="10" t="n">
        <f aca="false">SUMIF('Sales Data'!C:C,F3,'Sales Data'!H:H)</f>
        <v>1529877</v>
      </c>
      <c r="H3" s="10" t="n">
        <f aca="false">SUMIF('Sales Data'!C:C,F3,'Sales Data'!I:I)</f>
        <v>1439292.43</v>
      </c>
      <c r="I3" s="16" t="n">
        <f aca="false">IFERROR(G3/H3,0)</f>
        <v>1.06293687655955</v>
      </c>
    </row>
    <row r="4" customFormat="false" ht="15" hidden="false" customHeight="false" outlineLevel="0" collapsed="false">
      <c r="A4" s="17" t="s">
        <v>30</v>
      </c>
      <c r="B4" s="18" t="n">
        <f aca="false">COUNTIF('Sales Data'!E:E,A4)</f>
        <v>31</v>
      </c>
      <c r="C4" s="18" t="n">
        <f aca="false">COUNTIFS('Sales Data'!E:E,A4,'Sales Data'!F:F,"&gt;"&amp;10)</f>
        <v>16</v>
      </c>
      <c r="D4" s="18" t="n">
        <f aca="false">COUNTIFS('Sales Data'!E:E,A4,'Sales Data'!C:C,"North")</f>
        <v>5</v>
      </c>
      <c r="F4" s="19" t="s">
        <v>18</v>
      </c>
      <c r="G4" s="20" t="n">
        <f aca="false">SUMIF('Sales Data'!C:C,F4,'Sales Data'!H:H)</f>
        <v>2077579</v>
      </c>
      <c r="H4" s="20" t="n">
        <f aca="false">SUMIF('Sales Data'!C:C,F4,'Sales Data'!I:I)</f>
        <v>2060243.03</v>
      </c>
      <c r="I4" s="21" t="n">
        <f aca="false">IFERROR(G4/H4,0)</f>
        <v>1.00841452670756</v>
      </c>
    </row>
    <row r="5" customFormat="false" ht="15" hidden="false" customHeight="false" outlineLevel="0" collapsed="false">
      <c r="A5" s="4" t="s">
        <v>97</v>
      </c>
      <c r="B5" s="3" t="n">
        <f aca="false">COUNTIF('Sales Data'!E:E,A5)</f>
        <v>16</v>
      </c>
      <c r="C5" s="3" t="n">
        <f aca="false">COUNTIFS('Sales Data'!E:E,A5,'Sales Data'!F:F,"&gt;"&amp;10)</f>
        <v>10</v>
      </c>
      <c r="D5" s="3" t="n">
        <f aca="false">COUNTIFS('Sales Data'!E:E,A5,'Sales Data'!C:C,"North")</f>
        <v>4</v>
      </c>
      <c r="F5" s="4" t="s">
        <v>28</v>
      </c>
      <c r="G5" s="10" t="n">
        <f aca="false">SUMIF('Sales Data'!C:C,F5,'Sales Data'!H:H)</f>
        <v>3139054</v>
      </c>
      <c r="H5" s="10" t="n">
        <f aca="false">SUMIF('Sales Data'!C:C,F5,'Sales Data'!I:I)</f>
        <v>3083298.25</v>
      </c>
      <c r="I5" s="16" t="n">
        <f aca="false">IFERROR(G5/H5,0)</f>
        <v>1.01808315170289</v>
      </c>
    </row>
    <row r="6" customFormat="false" ht="15" hidden="false" customHeight="false" outlineLevel="0" collapsed="false">
      <c r="A6" s="17" t="s">
        <v>37</v>
      </c>
      <c r="B6" s="18" t="n">
        <f aca="false">COUNTIF('Sales Data'!E:E,A6)</f>
        <v>22</v>
      </c>
      <c r="C6" s="18" t="n">
        <f aca="false">COUNTIFS('Sales Data'!E:E,A6,'Sales Data'!F:F,"&gt;"&amp;10)</f>
        <v>11</v>
      </c>
      <c r="D6" s="18" t="n">
        <f aca="false">COUNTIFS('Sales Data'!E:E,A6,'Sales Data'!C:C,"North")</f>
        <v>6</v>
      </c>
      <c r="F6" s="19" t="s">
        <v>22</v>
      </c>
      <c r="G6" s="20" t="n">
        <f aca="false">SUMIF('Sales Data'!C:C,F6,'Sales Data'!H:H)</f>
        <v>2844090</v>
      </c>
      <c r="H6" s="20" t="n">
        <f aca="false">SUMIF('Sales Data'!C:C,F6,'Sales Data'!I:I)</f>
        <v>2894561.27</v>
      </c>
      <c r="I6" s="21" t="n">
        <f aca="false">IFERROR(G6/H6,0)</f>
        <v>0.982563412796579</v>
      </c>
    </row>
    <row r="7" customFormat="false" ht="15" hidden="false" customHeight="false" outlineLevel="0" collapsed="false">
      <c r="A7" s="4" t="s">
        <v>14</v>
      </c>
      <c r="B7" s="3" t="n">
        <f aca="false">COUNTIF('Sales Data'!E:E,A7)</f>
        <v>26</v>
      </c>
      <c r="C7" s="3" t="n">
        <f aca="false">COUNTIFS('Sales Data'!E:E,A7,'Sales Data'!F:F,"&gt;"&amp;10)</f>
        <v>14</v>
      </c>
      <c r="D7" s="3" t="n">
        <f aca="false">COUNTIFS('Sales Data'!E:E,A7,'Sales Data'!C:C,"North")</f>
        <v>7</v>
      </c>
      <c r="F7" s="22" t="s">
        <v>277</v>
      </c>
      <c r="G7" s="23" t="n">
        <f aca="false">SUM(G3:G6)</f>
        <v>9590600</v>
      </c>
      <c r="H7" s="23" t="n">
        <f aca="false">SUM(H3:H6)</f>
        <v>9477394.98</v>
      </c>
      <c r="I7" s="24" t="n">
        <f aca="false">IFERROR(G7/H7,0)</f>
        <v>1.01194474011465</v>
      </c>
    </row>
    <row r="8" customFormat="false" ht="15" hidden="false" customHeight="false" outlineLevel="0" collapsed="false">
      <c r="A8" s="17" t="s">
        <v>39</v>
      </c>
      <c r="B8" s="18" t="n">
        <f aca="false">COUNTIF('Sales Data'!E:E,A8)</f>
        <v>18</v>
      </c>
      <c r="C8" s="18" t="n">
        <f aca="false">COUNTIFS('Sales Data'!E:E,A8,'Sales Data'!F:F,"&gt;"&amp;10)</f>
        <v>6</v>
      </c>
      <c r="D8" s="18" t="n">
        <f aca="false">COUNTIFS('Sales Data'!E:E,A8,'Sales Data'!C:C,"North")</f>
        <v>5</v>
      </c>
    </row>
    <row r="9" customFormat="false" ht="15" hidden="false" customHeight="false" outlineLevel="0" collapsed="false">
      <c r="A9" s="4" t="s">
        <v>26</v>
      </c>
      <c r="B9" s="3" t="n">
        <f aca="false">COUNTIF('Sales Data'!E:E,A9)</f>
        <v>21</v>
      </c>
      <c r="C9" s="3" t="n">
        <f aca="false">COUNTIFS('Sales Data'!E:E,A9,'Sales Data'!F:F,"&gt;"&amp;10)</f>
        <v>8</v>
      </c>
      <c r="D9" s="3" t="n">
        <f aca="false">COUNTIFS('Sales Data'!E:E,A9,'Sales Data'!C:C,"North")</f>
        <v>7</v>
      </c>
    </row>
    <row r="10" customFormat="false" ht="15" hidden="false" customHeight="true" outlineLevel="0" collapsed="false">
      <c r="A10" s="17" t="s">
        <v>24</v>
      </c>
      <c r="B10" s="18" t="n">
        <f aca="false">COUNTIF('Sales Data'!E:E,A10)</f>
        <v>24</v>
      </c>
      <c r="C10" s="18" t="n">
        <f aca="false">COUNTIFS('Sales Data'!E:E,A10,'Sales Data'!F:F,"&gt;"&amp;10)</f>
        <v>14</v>
      </c>
      <c r="D10" s="18" t="n">
        <f aca="false">COUNTIFS('Sales Data'!E:E,A10,'Sales Data'!C:C,"North")</f>
        <v>3</v>
      </c>
      <c r="F10" s="9" t="s">
        <v>278</v>
      </c>
      <c r="G10" s="9"/>
      <c r="H10" s="9"/>
      <c r="I10" s="9"/>
    </row>
    <row r="11" customFormat="false" ht="15" hidden="false" customHeight="false" outlineLevel="0" collapsed="false">
      <c r="A11" s="4" t="s">
        <v>20</v>
      </c>
      <c r="B11" s="3" t="n">
        <f aca="false">COUNTIF('Sales Data'!E:E,A11)</f>
        <v>26</v>
      </c>
      <c r="C11" s="3" t="n">
        <f aca="false">COUNTIFS('Sales Data'!E:E,A11,'Sales Data'!F:F,"&gt;"&amp;10)</f>
        <v>10</v>
      </c>
      <c r="D11" s="3" t="n">
        <f aca="false">COUNTIFS('Sales Data'!E:E,A11,'Sales Data'!C:C,"North")</f>
        <v>7</v>
      </c>
      <c r="F11" s="2" t="s">
        <v>5</v>
      </c>
      <c r="G11" s="2" t="s">
        <v>8</v>
      </c>
      <c r="H11" s="2" t="s">
        <v>279</v>
      </c>
      <c r="I11" s="2" t="s">
        <v>280</v>
      </c>
    </row>
    <row r="12" customFormat="false" ht="15" hidden="false" customHeight="false" outlineLevel="0" collapsed="false">
      <c r="A12" s="17" t="s">
        <v>16</v>
      </c>
      <c r="B12" s="18" t="n">
        <f aca="false">COUNTIF('Sales Data'!E:E,A12)</f>
        <v>15</v>
      </c>
      <c r="C12" s="18" t="n">
        <f aca="false">COUNTIFS('Sales Data'!E:E,A12,'Sales Data'!F:F,"&gt;"&amp;10)</f>
        <v>10</v>
      </c>
      <c r="D12" s="18" t="n">
        <f aca="false">COUNTIFS('Sales Data'!E:E,A12,'Sales Data'!C:C,"North")</f>
        <v>4</v>
      </c>
      <c r="F12" s="17" t="s">
        <v>33</v>
      </c>
      <c r="G12" s="25" t="n">
        <f aca="false">SUMIF('Sales Data'!E:E,F12,'Sales Data'!H:H)</f>
        <v>1361039</v>
      </c>
      <c r="H12" s="18" t="n">
        <f aca="false">SUMIF('Sales Data'!E:E,F12,'Sales Data'!F:F)</f>
        <v>136</v>
      </c>
      <c r="I12" s="25" t="n">
        <f aca="false">IFERROR(G12/H12,0)</f>
        <v>10007.6397058824</v>
      </c>
    </row>
    <row r="13" customFormat="false" ht="15" hidden="false" customHeight="false" outlineLevel="0" collapsed="false">
      <c r="F13" s="4" t="s">
        <v>30</v>
      </c>
      <c r="G13" s="10" t="n">
        <f aca="false">SUMIF('Sales Data'!E:E,F13,'Sales Data'!H:H)</f>
        <v>2344635</v>
      </c>
      <c r="H13" s="3" t="n">
        <f aca="false">SUMIF('Sales Data'!E:E,F13,'Sales Data'!F:F)</f>
        <v>334</v>
      </c>
      <c r="I13" s="10" t="n">
        <f aca="false">IFERROR(G13/H13,0)</f>
        <v>7019.86526946108</v>
      </c>
    </row>
    <row r="14" customFormat="false" ht="15" hidden="false" customHeight="false" outlineLevel="0" collapsed="false">
      <c r="F14" s="17" t="s">
        <v>97</v>
      </c>
      <c r="G14" s="25" t="n">
        <f aca="false">SUMIF('Sales Data'!E:E,F14,'Sales Data'!H:H)</f>
        <v>946653</v>
      </c>
      <c r="H14" s="18" t="n">
        <f aca="false">SUMIF('Sales Data'!E:E,F14,'Sales Data'!F:F)</f>
        <v>191</v>
      </c>
      <c r="I14" s="25" t="n">
        <f aca="false">IFERROR(G14/H14,0)</f>
        <v>4956.29842931937</v>
      </c>
    </row>
    <row r="15" customFormat="false" ht="15" hidden="false" customHeight="false" outlineLevel="0" collapsed="false">
      <c r="F15" s="4" t="s">
        <v>37</v>
      </c>
      <c r="G15" s="10" t="n">
        <f aca="false">SUMIF('Sales Data'!E:E,F15,'Sales Data'!H:H)</f>
        <v>1736920</v>
      </c>
      <c r="H15" s="3" t="n">
        <f aca="false">SUMIF('Sales Data'!E:E,F15,'Sales Data'!F:F)</f>
        <v>232</v>
      </c>
      <c r="I15" s="10" t="n">
        <f aca="false">IFERROR(G15/H15,0)</f>
        <v>7486.72413793103</v>
      </c>
    </row>
    <row r="16" customFormat="false" ht="15" hidden="false" customHeight="false" outlineLevel="0" collapsed="false">
      <c r="F16" s="17" t="s">
        <v>14</v>
      </c>
      <c r="G16" s="25" t="n">
        <f aca="false">SUMIF('Sales Data'!E:E,F16,'Sales Data'!H:H)</f>
        <v>277100</v>
      </c>
      <c r="H16" s="18" t="n">
        <f aca="false">SUMIF('Sales Data'!E:E,F16,'Sales Data'!F:F)</f>
        <v>289</v>
      </c>
      <c r="I16" s="25" t="n">
        <f aca="false">IFERROR(G16/H16,0)</f>
        <v>958.823529411765</v>
      </c>
    </row>
    <row r="17" customFormat="false" ht="15" hidden="false" customHeight="false" outlineLevel="0" collapsed="false">
      <c r="F17" s="4" t="s">
        <v>39</v>
      </c>
      <c r="G17" s="10" t="n">
        <f aca="false">SUMIF('Sales Data'!E:E,F17,'Sales Data'!H:H)</f>
        <v>87813</v>
      </c>
      <c r="H17" s="3" t="n">
        <f aca="false">SUMIF('Sales Data'!E:E,F17,'Sales Data'!F:F)</f>
        <v>145</v>
      </c>
      <c r="I17" s="10" t="n">
        <f aca="false">IFERROR(G17/H17,0)</f>
        <v>605.606896551724</v>
      </c>
    </row>
    <row r="18" customFormat="false" ht="15" hidden="false" customHeight="false" outlineLevel="0" collapsed="false">
      <c r="F18" s="17" t="s">
        <v>26</v>
      </c>
      <c r="G18" s="25" t="n">
        <f aca="false">SUMIF('Sales Data'!E:E,F18,'Sales Data'!H:H)</f>
        <v>475174</v>
      </c>
      <c r="H18" s="18" t="n">
        <f aca="false">SUMIF('Sales Data'!E:E,F18,'Sales Data'!F:F)</f>
        <v>193</v>
      </c>
      <c r="I18" s="25" t="n">
        <f aca="false">IFERROR(G18/H18,0)</f>
        <v>2462.0414507772</v>
      </c>
    </row>
    <row r="19" customFormat="false" ht="15" hidden="false" customHeight="false" outlineLevel="0" collapsed="false">
      <c r="F19" s="4" t="s">
        <v>24</v>
      </c>
      <c r="G19" s="10" t="n">
        <f aca="false">SUMIF('Sales Data'!E:E,F19,'Sales Data'!H:H)</f>
        <v>1550739</v>
      </c>
      <c r="H19" s="3" t="n">
        <f aca="false">SUMIF('Sales Data'!E:E,F19,'Sales Data'!F:F)</f>
        <v>258</v>
      </c>
      <c r="I19" s="10" t="n">
        <f aca="false">IFERROR(G19/H19,0)</f>
        <v>6010.61627906977</v>
      </c>
    </row>
    <row r="20" customFormat="false" ht="15" hidden="false" customHeight="false" outlineLevel="0" collapsed="false">
      <c r="F20" s="17" t="s">
        <v>20</v>
      </c>
      <c r="G20" s="25" t="n">
        <f aca="false">SUMIF('Sales Data'!E:E,F20,'Sales Data'!H:H)</f>
        <v>503752</v>
      </c>
      <c r="H20" s="18" t="n">
        <f aca="false">SUMIF('Sales Data'!E:E,F20,'Sales Data'!F:F)</f>
        <v>252</v>
      </c>
      <c r="I20" s="25" t="n">
        <f aca="false">IFERROR(G20/H20,0)</f>
        <v>1999.01587301587</v>
      </c>
    </row>
    <row r="21" customFormat="false" ht="15" hidden="false" customHeight="false" outlineLevel="0" collapsed="false">
      <c r="F21" s="4" t="s">
        <v>16</v>
      </c>
      <c r="G21" s="10" t="n">
        <f aca="false">SUMIF('Sales Data'!E:E,F21,'Sales Data'!H:H)</f>
        <v>306775</v>
      </c>
      <c r="H21" s="3" t="n">
        <f aca="false">SUMIF('Sales Data'!E:E,F21,'Sales Data'!F:F)</f>
        <v>208</v>
      </c>
      <c r="I21" s="10" t="n">
        <f aca="false">IFERROR(G21/H21,0)</f>
        <v>1474.87980769231</v>
      </c>
    </row>
  </sheetData>
  <mergeCells count="3">
    <mergeCell ref="A1:D1"/>
    <mergeCell ref="F1:I1"/>
    <mergeCell ref="F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27.75" hidden="false" customHeight="true" outlineLevel="0" collapsed="false">
      <c r="A1" s="9" t="s">
        <v>281</v>
      </c>
      <c r="B1" s="9"/>
      <c r="C1" s="9"/>
      <c r="D1" s="9"/>
      <c r="E1" s="9"/>
    </row>
    <row r="2" customFormat="false" ht="15" hidden="false" customHeight="false" outlineLevel="0" collapsed="false">
      <c r="A2" s="2" t="s">
        <v>2</v>
      </c>
      <c r="B2" s="2" t="s">
        <v>12</v>
      </c>
      <c r="C2" s="2" t="s">
        <v>18</v>
      </c>
      <c r="D2" s="2" t="s">
        <v>28</v>
      </c>
      <c r="E2" s="2" t="s">
        <v>22</v>
      </c>
      <c r="F2" s="2" t="s">
        <v>282</v>
      </c>
    </row>
    <row r="3" customFormat="false" ht="15" hidden="false" customHeight="false" outlineLevel="0" collapsed="false">
      <c r="A3" s="26" t="s">
        <v>11</v>
      </c>
      <c r="B3" s="10" t="n">
        <f aca="false">SUMPRODUCT(('Sales Data'!B$3:B$218=A3)*('Sales Data'!C$3:C$218="North"),'Sales Data'!H$3:H$218)</f>
        <v>103221</v>
      </c>
      <c r="C3" s="10" t="n">
        <f aca="false">SUMPRODUCT(('Sales Data'!B$3:B$218=A3)*('Sales Data'!C$3:C$218="South"),'Sales Data'!H$3:H$218)</f>
        <v>36240</v>
      </c>
      <c r="D3" s="10" t="n">
        <f aca="false">SUMPRODUCT(('Sales Data'!B$3:B$218=A3)*('Sales Data'!C$3:C$218="East"),'Sales Data'!H$3:H$218)</f>
        <v>510186</v>
      </c>
      <c r="E3" s="10" t="n">
        <f aca="false">SUMPRODUCT(('Sales Data'!B$3:B$218=A3)*('Sales Data'!C$3:C$218="West"),'Sales Data'!H$3:H$218)</f>
        <v>137831</v>
      </c>
      <c r="F3" s="27" t="n">
        <f aca="false">SUM(B3:E3)</f>
        <v>787478</v>
      </c>
    </row>
    <row r="4" customFormat="false" ht="15" hidden="false" customHeight="false" outlineLevel="0" collapsed="false">
      <c r="A4" s="26" t="s">
        <v>49</v>
      </c>
      <c r="B4" s="11" t="n">
        <f aca="false">SUMPRODUCT(('Sales Data'!B$3:B$218=A4)*('Sales Data'!C$3:C$218="North"),'Sales Data'!H$3:H$218)</f>
        <v>344880</v>
      </c>
      <c r="C4" s="11" t="n">
        <f aca="false">SUMPRODUCT(('Sales Data'!B$3:B$218=A4)*('Sales Data'!C$3:C$218="South"),'Sales Data'!H$3:H$218)</f>
        <v>61421</v>
      </c>
      <c r="D4" s="11" t="n">
        <f aca="false">SUMPRODUCT(('Sales Data'!B$3:B$218=A4)*('Sales Data'!C$3:C$218="East"),'Sales Data'!H$3:H$218)</f>
        <v>230788</v>
      </c>
      <c r="E4" s="11" t="n">
        <f aca="false">SUMPRODUCT(('Sales Data'!B$3:B$218=A4)*('Sales Data'!C$3:C$218="West"),'Sales Data'!H$3:H$218)</f>
        <v>226093</v>
      </c>
      <c r="F4" s="27" t="n">
        <f aca="false">SUM(B4:E4)</f>
        <v>863182</v>
      </c>
    </row>
    <row r="5" customFormat="false" ht="15" hidden="false" customHeight="false" outlineLevel="0" collapsed="false">
      <c r="A5" s="26" t="s">
        <v>70</v>
      </c>
      <c r="B5" s="10" t="n">
        <f aca="false">SUMPRODUCT(('Sales Data'!B$3:B$218=A5)*('Sales Data'!C$3:C$218="North"),'Sales Data'!H$3:H$218)</f>
        <v>146472</v>
      </c>
      <c r="C5" s="10" t="n">
        <f aca="false">SUMPRODUCT(('Sales Data'!B$3:B$218=A5)*('Sales Data'!C$3:C$218="South"),'Sales Data'!H$3:H$218)</f>
        <v>94356</v>
      </c>
      <c r="D5" s="10" t="n">
        <f aca="false">SUMPRODUCT(('Sales Data'!B$3:B$218=A5)*('Sales Data'!C$3:C$218="East"),'Sales Data'!H$3:H$218)</f>
        <v>129543</v>
      </c>
      <c r="E5" s="10" t="n">
        <f aca="false">SUMPRODUCT(('Sales Data'!B$3:B$218=A5)*('Sales Data'!C$3:C$218="West"),'Sales Data'!H$3:H$218)</f>
        <v>148140</v>
      </c>
      <c r="F5" s="27" t="n">
        <f aca="false">SUM(B5:E5)</f>
        <v>518511</v>
      </c>
    </row>
    <row r="6" customFormat="false" ht="15" hidden="false" customHeight="false" outlineLevel="0" collapsed="false">
      <c r="A6" s="26" t="s">
        <v>89</v>
      </c>
      <c r="B6" s="11" t="n">
        <f aca="false">SUMPRODUCT(('Sales Data'!B$3:B$218=A6)*('Sales Data'!C$3:C$218="North"),'Sales Data'!H$3:H$218)</f>
        <v>117135</v>
      </c>
      <c r="C6" s="11" t="n">
        <f aca="false">SUMPRODUCT(('Sales Data'!B$3:B$218=A6)*('Sales Data'!C$3:C$218="South"),'Sales Data'!H$3:H$218)</f>
        <v>235100</v>
      </c>
      <c r="D6" s="11" t="n">
        <f aca="false">SUMPRODUCT(('Sales Data'!B$3:B$218=A6)*('Sales Data'!C$3:C$218="East"),'Sales Data'!H$3:H$218)</f>
        <v>491940</v>
      </c>
      <c r="E6" s="11" t="n">
        <f aca="false">SUMPRODUCT(('Sales Data'!B$3:B$218=A6)*('Sales Data'!C$3:C$218="West"),'Sales Data'!H$3:H$218)</f>
        <v>156504</v>
      </c>
      <c r="F6" s="27" t="n">
        <f aca="false">SUM(B6:E6)</f>
        <v>1000679</v>
      </c>
    </row>
    <row r="7" customFormat="false" ht="15" hidden="false" customHeight="false" outlineLevel="0" collapsed="false">
      <c r="A7" s="26" t="s">
        <v>109</v>
      </c>
      <c r="B7" s="10" t="n">
        <f aca="false">SUMPRODUCT(('Sales Data'!B$3:B$218=A7)*('Sales Data'!C$3:C$218="North"),'Sales Data'!H$3:H$218)</f>
        <v>117746</v>
      </c>
      <c r="C7" s="10" t="n">
        <f aca="false">SUMPRODUCT(('Sales Data'!B$3:B$218=A7)*('Sales Data'!C$3:C$218="South"),'Sales Data'!H$3:H$218)</f>
        <v>148792</v>
      </c>
      <c r="D7" s="10" t="n">
        <f aca="false">SUMPRODUCT(('Sales Data'!B$3:B$218=A7)*('Sales Data'!C$3:C$218="East"),'Sales Data'!H$3:H$218)</f>
        <v>166300</v>
      </c>
      <c r="E7" s="10" t="n">
        <f aca="false">SUMPRODUCT(('Sales Data'!B$3:B$218=A7)*('Sales Data'!C$3:C$218="West"),'Sales Data'!H$3:H$218)</f>
        <v>448387</v>
      </c>
      <c r="F7" s="27" t="n">
        <f aca="false">SUM(B7:E7)</f>
        <v>881225</v>
      </c>
    </row>
    <row r="8" customFormat="false" ht="15" hidden="false" customHeight="false" outlineLevel="0" collapsed="false">
      <c r="A8" s="26" t="s">
        <v>128</v>
      </c>
      <c r="B8" s="11" t="n">
        <f aca="false">SUMPRODUCT(('Sales Data'!B$3:B$218=A8)*('Sales Data'!C$3:C$218="North"),'Sales Data'!H$3:H$218)</f>
        <v>139677</v>
      </c>
      <c r="C8" s="11" t="n">
        <f aca="false">SUMPRODUCT(('Sales Data'!B$3:B$218=A8)*('Sales Data'!C$3:C$218="South"),'Sales Data'!H$3:H$218)</f>
        <v>41548</v>
      </c>
      <c r="D8" s="11" t="n">
        <f aca="false">SUMPRODUCT(('Sales Data'!B$3:B$218=A8)*('Sales Data'!C$3:C$218="East"),'Sales Data'!H$3:H$218)</f>
        <v>347516</v>
      </c>
      <c r="E8" s="11" t="n">
        <f aca="false">SUMPRODUCT(('Sales Data'!B$3:B$218=A8)*('Sales Data'!C$3:C$218="West"),'Sales Data'!H$3:H$218)</f>
        <v>112842</v>
      </c>
      <c r="F8" s="27" t="n">
        <f aca="false">SUM(B8:E8)</f>
        <v>641583</v>
      </c>
    </row>
    <row r="9" customFormat="false" ht="15" hidden="false" customHeight="false" outlineLevel="0" collapsed="false">
      <c r="A9" s="26" t="s">
        <v>147</v>
      </c>
      <c r="B9" s="10" t="n">
        <f aca="false">SUMPRODUCT(('Sales Data'!B$3:B$218=A9)*('Sales Data'!C$3:C$218="North"),'Sales Data'!H$3:H$218)</f>
        <v>103642</v>
      </c>
      <c r="C9" s="10" t="n">
        <f aca="false">SUMPRODUCT(('Sales Data'!B$3:B$218=A9)*('Sales Data'!C$3:C$218="South"),'Sales Data'!H$3:H$218)</f>
        <v>144282</v>
      </c>
      <c r="D9" s="10" t="n">
        <f aca="false">SUMPRODUCT(('Sales Data'!B$3:B$218=A9)*('Sales Data'!C$3:C$218="East"),'Sales Data'!H$3:H$218)</f>
        <v>116186</v>
      </c>
      <c r="E9" s="10" t="n">
        <f aca="false">SUMPRODUCT(('Sales Data'!B$3:B$218=A9)*('Sales Data'!C$3:C$218="West"),'Sales Data'!H$3:H$218)</f>
        <v>169183</v>
      </c>
      <c r="F9" s="27" t="n">
        <f aca="false">SUM(B9:E9)</f>
        <v>533293</v>
      </c>
    </row>
    <row r="10" customFormat="false" ht="15" hidden="false" customHeight="false" outlineLevel="0" collapsed="false">
      <c r="A10" s="26" t="s">
        <v>166</v>
      </c>
      <c r="B10" s="11" t="n">
        <f aca="false">SUMPRODUCT(('Sales Data'!B$3:B$218=A10)*('Sales Data'!C$3:C$218="North"),'Sales Data'!H$3:H$218)</f>
        <v>84063</v>
      </c>
      <c r="C10" s="11" t="n">
        <f aca="false">SUMPRODUCT(('Sales Data'!B$3:B$218=A10)*('Sales Data'!C$3:C$218="South"),'Sales Data'!H$3:H$218)</f>
        <v>264030</v>
      </c>
      <c r="D10" s="11" t="n">
        <f aca="false">SUMPRODUCT(('Sales Data'!B$3:B$218=A10)*('Sales Data'!C$3:C$218="East"),'Sales Data'!H$3:H$218)</f>
        <v>327470</v>
      </c>
      <c r="E10" s="11" t="n">
        <f aca="false">SUMPRODUCT(('Sales Data'!B$3:B$218=A10)*('Sales Data'!C$3:C$218="West"),'Sales Data'!H$3:H$218)</f>
        <v>176964</v>
      </c>
      <c r="F10" s="27" t="n">
        <f aca="false">SUM(B10:E10)</f>
        <v>852527</v>
      </c>
    </row>
    <row r="11" customFormat="false" ht="15" hidden="false" customHeight="false" outlineLevel="0" collapsed="false">
      <c r="A11" s="26" t="s">
        <v>185</v>
      </c>
      <c r="B11" s="10" t="n">
        <f aca="false">SUMPRODUCT(('Sales Data'!B$3:B$218=A11)*('Sales Data'!C$3:C$218="North"),'Sales Data'!H$3:H$218)</f>
        <v>140676</v>
      </c>
      <c r="C11" s="10" t="n">
        <f aca="false">SUMPRODUCT(('Sales Data'!B$3:B$218=A11)*('Sales Data'!C$3:C$218="South"),'Sales Data'!H$3:H$218)</f>
        <v>304218</v>
      </c>
      <c r="D11" s="10" t="n">
        <f aca="false">SUMPRODUCT(('Sales Data'!B$3:B$218=A11)*('Sales Data'!C$3:C$218="East"),'Sales Data'!H$3:H$218)</f>
        <v>260093</v>
      </c>
      <c r="E11" s="10" t="n">
        <f aca="false">SUMPRODUCT(('Sales Data'!B$3:B$218=A11)*('Sales Data'!C$3:C$218="West"),'Sales Data'!H$3:H$218)</f>
        <v>288353</v>
      </c>
      <c r="F11" s="27" t="n">
        <f aca="false">SUM(B11:E11)</f>
        <v>993340</v>
      </c>
    </row>
    <row r="12" customFormat="false" ht="15" hidden="false" customHeight="false" outlineLevel="0" collapsed="false">
      <c r="A12" s="26" t="s">
        <v>204</v>
      </c>
      <c r="B12" s="11" t="n">
        <f aca="false">SUMPRODUCT(('Sales Data'!B$3:B$218=A12)*('Sales Data'!C$3:C$218="North"),'Sales Data'!H$3:H$218)</f>
        <v>72554</v>
      </c>
      <c r="C12" s="11" t="n">
        <f aca="false">SUMPRODUCT(('Sales Data'!B$3:B$218=A12)*('Sales Data'!C$3:C$218="South"),'Sales Data'!H$3:H$218)</f>
        <v>300130</v>
      </c>
      <c r="D12" s="11" t="n">
        <f aca="false">SUMPRODUCT(('Sales Data'!B$3:B$218=A12)*('Sales Data'!C$3:C$218="East"),'Sales Data'!H$3:H$218)</f>
        <v>232717</v>
      </c>
      <c r="E12" s="11" t="n">
        <f aca="false">SUMPRODUCT(('Sales Data'!B$3:B$218=A12)*('Sales Data'!C$3:C$218="West"),'Sales Data'!H$3:H$218)</f>
        <v>298285</v>
      </c>
      <c r="F12" s="27" t="n">
        <f aca="false">SUM(B12:E12)</f>
        <v>903686</v>
      </c>
    </row>
    <row r="13" customFormat="false" ht="15" hidden="false" customHeight="false" outlineLevel="0" collapsed="false">
      <c r="A13" s="26" t="s">
        <v>223</v>
      </c>
      <c r="B13" s="10" t="n">
        <f aca="false">SUMPRODUCT(('Sales Data'!B$3:B$218=A13)*('Sales Data'!C$3:C$218="North"),'Sales Data'!H$3:H$218)</f>
        <v>78711</v>
      </c>
      <c r="C13" s="10" t="n">
        <f aca="false">SUMPRODUCT(('Sales Data'!B$3:B$218=A13)*('Sales Data'!C$3:C$218="South"),'Sales Data'!H$3:H$218)</f>
        <v>351907</v>
      </c>
      <c r="D13" s="10" t="n">
        <f aca="false">SUMPRODUCT(('Sales Data'!B$3:B$218=A13)*('Sales Data'!C$3:C$218="East"),'Sales Data'!H$3:H$218)</f>
        <v>142186</v>
      </c>
      <c r="E13" s="10" t="n">
        <f aca="false">SUMPRODUCT(('Sales Data'!B$3:B$218=A13)*('Sales Data'!C$3:C$218="West"),'Sales Data'!H$3:H$218)</f>
        <v>278304</v>
      </c>
      <c r="F13" s="27" t="n">
        <f aca="false">SUM(B13:E13)</f>
        <v>851108</v>
      </c>
    </row>
    <row r="14" customFormat="false" ht="15" hidden="false" customHeight="false" outlineLevel="0" collapsed="false">
      <c r="A14" s="26" t="s">
        <v>242</v>
      </c>
      <c r="B14" s="11" t="n">
        <f aca="false">SUMPRODUCT(('Sales Data'!B$3:B$218=A14)*('Sales Data'!C$3:C$218="North"),'Sales Data'!H$3:H$218)</f>
        <v>81100</v>
      </c>
      <c r="C14" s="11" t="n">
        <f aca="false">SUMPRODUCT(('Sales Data'!B$3:B$218=A14)*('Sales Data'!C$3:C$218="South"),'Sales Data'!H$3:H$218)</f>
        <v>95555</v>
      </c>
      <c r="D14" s="11" t="n">
        <f aca="false">SUMPRODUCT(('Sales Data'!B$3:B$218=A14)*('Sales Data'!C$3:C$218="East"),'Sales Data'!H$3:H$218)</f>
        <v>184129</v>
      </c>
      <c r="E14" s="11" t="n">
        <f aca="false">SUMPRODUCT(('Sales Data'!B$3:B$218=A14)*('Sales Data'!C$3:C$218="West"),'Sales Data'!H$3:H$218)</f>
        <v>403204</v>
      </c>
      <c r="F14" s="27" t="n">
        <f aca="false">SUM(B14:E14)</f>
        <v>763988</v>
      </c>
    </row>
    <row r="15" customFormat="false" ht="15" hidden="false" customHeight="false" outlineLevel="0" collapsed="false">
      <c r="A15" s="28" t="s">
        <v>282</v>
      </c>
      <c r="B15" s="29" t="n">
        <f aca="false">SUM(B3:B14)</f>
        <v>1529877</v>
      </c>
      <c r="C15" s="29" t="n">
        <f aca="false">SUM(C3:C14)</f>
        <v>2077579</v>
      </c>
      <c r="D15" s="29" t="n">
        <f aca="false">SUM(D3:D14)</f>
        <v>3139054</v>
      </c>
      <c r="E15" s="29" t="n">
        <f aca="false">SUM(E3:E14)</f>
        <v>2844090</v>
      </c>
      <c r="F15" s="29" t="n">
        <f aca="false">SUM(F3:F14)</f>
        <v>9590600</v>
      </c>
    </row>
    <row r="18" customFormat="false" ht="27.75" hidden="false" customHeight="true" outlineLevel="0" collapsed="false">
      <c r="A18" s="9" t="s">
        <v>283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2" t="s">
        <v>5</v>
      </c>
      <c r="B19" s="2" t="s">
        <v>12</v>
      </c>
      <c r="C19" s="2" t="s">
        <v>18</v>
      </c>
      <c r="D19" s="2" t="s">
        <v>28</v>
      </c>
      <c r="E19" s="2" t="s">
        <v>22</v>
      </c>
      <c r="F19" s="2" t="s">
        <v>282</v>
      </c>
    </row>
    <row r="20" customFormat="false" ht="15" hidden="false" customHeight="false" outlineLevel="0" collapsed="false">
      <c r="A20" s="26" t="s">
        <v>33</v>
      </c>
      <c r="B20" s="11" t="n">
        <f aca="false">SUMPRODUCT(('Sales Data'!E$3:E$218=A20)*('Sales Data'!C$3:C$218="North"),'Sales Data'!H$3:H$218)</f>
        <v>212047</v>
      </c>
      <c r="C20" s="11" t="n">
        <f aca="false">SUMPRODUCT(('Sales Data'!E$3:E$218=A20)*('Sales Data'!C$3:C$218="South"),'Sales Data'!H$3:H$218)</f>
        <v>556375</v>
      </c>
      <c r="D20" s="11" t="n">
        <f aca="false">SUMPRODUCT(('Sales Data'!E$3:E$218=A20)*('Sales Data'!C$3:C$218="East"),'Sales Data'!H$3:H$218)</f>
        <v>493225</v>
      </c>
      <c r="E20" s="11" t="n">
        <f aca="false">SUMPRODUCT(('Sales Data'!E$3:E$218=A20)*('Sales Data'!C$3:C$218="West"),'Sales Data'!H$3:H$218)</f>
        <v>99392</v>
      </c>
      <c r="F20" s="27" t="n">
        <f aca="false">SUM(B20:E20)</f>
        <v>1361039</v>
      </c>
    </row>
    <row r="21" customFormat="false" ht="15" hidden="false" customHeight="false" outlineLevel="0" collapsed="false">
      <c r="A21" s="26" t="s">
        <v>30</v>
      </c>
      <c r="B21" s="10" t="n">
        <f aca="false">SUMPRODUCT(('Sales Data'!E$3:E$218=A21)*('Sales Data'!C$3:C$218="North"),'Sales Data'!H$3:H$218)</f>
        <v>317249</v>
      </c>
      <c r="C21" s="10" t="n">
        <f aca="false">SUMPRODUCT(('Sales Data'!E$3:E$218=A21)*('Sales Data'!C$3:C$218="South"),'Sales Data'!H$3:H$218)</f>
        <v>412680</v>
      </c>
      <c r="D21" s="10" t="n">
        <f aca="false">SUMPRODUCT(('Sales Data'!E$3:E$218=A21)*('Sales Data'!C$3:C$218="East"),'Sales Data'!H$3:H$218)</f>
        <v>966833</v>
      </c>
      <c r="E21" s="10" t="n">
        <f aca="false">SUMPRODUCT(('Sales Data'!E$3:E$218=A21)*('Sales Data'!C$3:C$218="West"),'Sales Data'!H$3:H$218)</f>
        <v>647873</v>
      </c>
      <c r="F21" s="27" t="n">
        <f aca="false">SUM(B21:E21)</f>
        <v>2344635</v>
      </c>
    </row>
    <row r="22" customFormat="false" ht="15" hidden="false" customHeight="false" outlineLevel="0" collapsed="false">
      <c r="A22" s="26" t="s">
        <v>97</v>
      </c>
      <c r="B22" s="11" t="n">
        <f aca="false">SUMPRODUCT(('Sales Data'!E$3:E$218=A22)*('Sales Data'!C$3:C$218="North"),'Sales Data'!H$3:H$218)</f>
        <v>207591</v>
      </c>
      <c r="C22" s="11" t="n">
        <f aca="false">SUMPRODUCT(('Sales Data'!E$3:E$218=A22)*('Sales Data'!C$3:C$218="South"),'Sales Data'!H$3:H$218)</f>
        <v>109724</v>
      </c>
      <c r="D22" s="11" t="n">
        <f aca="false">SUMPRODUCT(('Sales Data'!E$3:E$218=A22)*('Sales Data'!C$3:C$218="East"),'Sales Data'!H$3:H$218)</f>
        <v>443119</v>
      </c>
      <c r="E22" s="11" t="n">
        <f aca="false">SUMPRODUCT(('Sales Data'!E$3:E$218=A22)*('Sales Data'!C$3:C$218="West"),'Sales Data'!H$3:H$218)</f>
        <v>186219</v>
      </c>
      <c r="F22" s="27" t="n">
        <f aca="false">SUM(B22:E22)</f>
        <v>946653</v>
      </c>
    </row>
    <row r="23" customFormat="false" ht="15" hidden="false" customHeight="false" outlineLevel="0" collapsed="false">
      <c r="A23" s="26" t="s">
        <v>37</v>
      </c>
      <c r="B23" s="10" t="n">
        <f aca="false">SUMPRODUCT(('Sales Data'!E$3:E$218=A23)*('Sales Data'!C$3:C$218="North"),'Sales Data'!H$3:H$218)</f>
        <v>302163</v>
      </c>
      <c r="C23" s="10" t="n">
        <f aca="false">SUMPRODUCT(('Sales Data'!E$3:E$218=A23)*('Sales Data'!C$3:C$218="South"),'Sales Data'!H$3:H$218)</f>
        <v>306223</v>
      </c>
      <c r="D23" s="10" t="n">
        <f aca="false">SUMPRODUCT(('Sales Data'!E$3:E$218=A23)*('Sales Data'!C$3:C$218="East"),'Sales Data'!H$3:H$218)</f>
        <v>329772</v>
      </c>
      <c r="E23" s="10" t="n">
        <f aca="false">SUMPRODUCT(('Sales Data'!E$3:E$218=A23)*('Sales Data'!C$3:C$218="West"),'Sales Data'!H$3:H$218)</f>
        <v>798762</v>
      </c>
      <c r="F23" s="27" t="n">
        <f aca="false">SUM(B23:E23)</f>
        <v>1736920</v>
      </c>
    </row>
    <row r="24" customFormat="false" ht="15" hidden="false" customHeight="false" outlineLevel="0" collapsed="false">
      <c r="A24" s="26" t="s">
        <v>14</v>
      </c>
      <c r="B24" s="11" t="n">
        <f aca="false">SUMPRODUCT(('Sales Data'!E$3:E$218=A24)*('Sales Data'!C$3:C$218="North"),'Sales Data'!H$3:H$218)</f>
        <v>49503</v>
      </c>
      <c r="C24" s="11" t="n">
        <f aca="false">SUMPRODUCT(('Sales Data'!E$3:E$218=A24)*('Sales Data'!C$3:C$218="South"),'Sales Data'!H$3:H$218)</f>
        <v>81835</v>
      </c>
      <c r="D24" s="11" t="n">
        <f aca="false">SUMPRODUCT(('Sales Data'!E$3:E$218=A24)*('Sales Data'!C$3:C$218="East"),'Sales Data'!H$3:H$218)</f>
        <v>89023</v>
      </c>
      <c r="E24" s="11" t="n">
        <f aca="false">SUMPRODUCT(('Sales Data'!E$3:E$218=A24)*('Sales Data'!C$3:C$218="West"),'Sales Data'!H$3:H$218)</f>
        <v>56739</v>
      </c>
      <c r="F24" s="27" t="n">
        <f aca="false">SUM(B24:E24)</f>
        <v>277100</v>
      </c>
    </row>
    <row r="25" customFormat="false" ht="15" hidden="false" customHeight="false" outlineLevel="0" collapsed="false">
      <c r="A25" s="26" t="s">
        <v>39</v>
      </c>
      <c r="B25" s="10" t="n">
        <f aca="false">SUMPRODUCT(('Sales Data'!E$3:E$218=A25)*('Sales Data'!C$3:C$218="North"),'Sales Data'!H$3:H$218)</f>
        <v>49345</v>
      </c>
      <c r="C25" s="10" t="n">
        <f aca="false">SUMPRODUCT(('Sales Data'!E$3:E$218=A25)*('Sales Data'!C$3:C$218="South"),'Sales Data'!H$3:H$218)</f>
        <v>4050</v>
      </c>
      <c r="D25" s="10" t="n">
        <f aca="false">SUMPRODUCT(('Sales Data'!E$3:E$218=A25)*('Sales Data'!C$3:C$218="East"),'Sales Data'!H$3:H$218)</f>
        <v>23210</v>
      </c>
      <c r="E25" s="10" t="n">
        <f aca="false">SUMPRODUCT(('Sales Data'!E$3:E$218=A25)*('Sales Data'!C$3:C$218="West"),'Sales Data'!H$3:H$218)</f>
        <v>11208</v>
      </c>
      <c r="F25" s="27" t="n">
        <f aca="false">SUM(B25:E25)</f>
        <v>87813</v>
      </c>
    </row>
    <row r="26" customFormat="false" ht="15" hidden="false" customHeight="false" outlineLevel="0" collapsed="false">
      <c r="A26" s="26" t="s">
        <v>26</v>
      </c>
      <c r="B26" s="11" t="n">
        <f aca="false">SUMPRODUCT(('Sales Data'!E$3:E$218=A26)*('Sales Data'!C$3:C$218="North"),'Sales Data'!H$3:H$218)</f>
        <v>166567</v>
      </c>
      <c r="C26" s="11" t="n">
        <f aca="false">SUMPRODUCT(('Sales Data'!E$3:E$218=A26)*('Sales Data'!C$3:C$218="South"),'Sales Data'!H$3:H$218)</f>
        <v>79564</v>
      </c>
      <c r="D26" s="11" t="n">
        <f aca="false">SUMPRODUCT(('Sales Data'!E$3:E$218=A26)*('Sales Data'!C$3:C$218="East"),'Sales Data'!H$3:H$218)</f>
        <v>87171</v>
      </c>
      <c r="E26" s="11" t="n">
        <f aca="false">SUMPRODUCT(('Sales Data'!E$3:E$218=A26)*('Sales Data'!C$3:C$218="West"),'Sales Data'!H$3:H$218)</f>
        <v>141872</v>
      </c>
      <c r="F26" s="27" t="n">
        <f aca="false">SUM(B26:E26)</f>
        <v>475174</v>
      </c>
    </row>
    <row r="27" customFormat="false" ht="15" hidden="false" customHeight="false" outlineLevel="0" collapsed="false">
      <c r="A27" s="26" t="s">
        <v>24</v>
      </c>
      <c r="B27" s="10" t="n">
        <f aca="false">SUMPRODUCT(('Sales Data'!E$3:E$218=A27)*('Sales Data'!C$3:C$218="North"),'Sales Data'!H$3:H$218)</f>
        <v>35227</v>
      </c>
      <c r="C27" s="10" t="n">
        <f aca="false">SUMPRODUCT(('Sales Data'!E$3:E$218=A27)*('Sales Data'!C$3:C$218="South"),'Sales Data'!H$3:H$218)</f>
        <v>303030</v>
      </c>
      <c r="D27" s="10" t="n">
        <f aca="false">SUMPRODUCT(('Sales Data'!E$3:E$218=A27)*('Sales Data'!C$3:C$218="East"),'Sales Data'!H$3:H$218)</f>
        <v>540517</v>
      </c>
      <c r="E27" s="10" t="n">
        <f aca="false">SUMPRODUCT(('Sales Data'!E$3:E$218=A27)*('Sales Data'!C$3:C$218="West"),'Sales Data'!H$3:H$218)</f>
        <v>671965</v>
      </c>
      <c r="F27" s="27" t="n">
        <f aca="false">SUM(B27:E27)</f>
        <v>1550739</v>
      </c>
    </row>
    <row r="28" customFormat="false" ht="15" hidden="false" customHeight="false" outlineLevel="0" collapsed="false">
      <c r="A28" s="26" t="s">
        <v>20</v>
      </c>
      <c r="B28" s="11" t="n">
        <f aca="false">SUMPRODUCT(('Sales Data'!E$3:E$218=A28)*('Sales Data'!C$3:C$218="North"),'Sales Data'!H$3:H$218)</f>
        <v>117197</v>
      </c>
      <c r="C28" s="11" t="n">
        <f aca="false">SUMPRODUCT(('Sales Data'!E$3:E$218=A28)*('Sales Data'!C$3:C$218="South"),'Sales Data'!H$3:H$218)</f>
        <v>162244</v>
      </c>
      <c r="D28" s="11" t="n">
        <f aca="false">SUMPRODUCT(('Sales Data'!E$3:E$218=A28)*('Sales Data'!C$3:C$218="East"),'Sales Data'!H$3:H$218)</f>
        <v>79963</v>
      </c>
      <c r="E28" s="11" t="n">
        <f aca="false">SUMPRODUCT(('Sales Data'!E$3:E$218=A28)*('Sales Data'!C$3:C$218="West"),'Sales Data'!H$3:H$218)</f>
        <v>144348</v>
      </c>
      <c r="F28" s="27" t="n">
        <f aca="false">SUM(B28:E28)</f>
        <v>503752</v>
      </c>
    </row>
    <row r="29" customFormat="false" ht="15" hidden="false" customHeight="false" outlineLevel="0" collapsed="false">
      <c r="A29" s="26" t="s">
        <v>16</v>
      </c>
      <c r="B29" s="10" t="n">
        <f aca="false">SUMPRODUCT(('Sales Data'!E$3:E$218=A29)*('Sales Data'!C$3:C$218="North"),'Sales Data'!H$3:H$218)</f>
        <v>72988</v>
      </c>
      <c r="C29" s="10" t="n">
        <f aca="false">SUMPRODUCT(('Sales Data'!E$3:E$218=A29)*('Sales Data'!C$3:C$218="South"),'Sales Data'!H$3:H$218)</f>
        <v>61854</v>
      </c>
      <c r="D29" s="10" t="n">
        <f aca="false">SUMPRODUCT(('Sales Data'!E$3:E$218=A29)*('Sales Data'!C$3:C$218="East"),'Sales Data'!H$3:H$218)</f>
        <v>86221</v>
      </c>
      <c r="E29" s="10" t="n">
        <f aca="false">SUMPRODUCT(('Sales Data'!E$3:E$218=A29)*('Sales Data'!C$3:C$218="West"),'Sales Data'!H$3:H$218)</f>
        <v>85712</v>
      </c>
      <c r="F29" s="27" t="n">
        <f aca="false">SUM(B29:E29)</f>
        <v>306775</v>
      </c>
    </row>
    <row r="30" customFormat="false" ht="15" hidden="false" customHeight="false" outlineLevel="0" collapsed="false">
      <c r="A30" s="28" t="s">
        <v>282</v>
      </c>
      <c r="B30" s="29" t="n">
        <f aca="false">SUM(B20:B29)</f>
        <v>1529877</v>
      </c>
      <c r="C30" s="29" t="n">
        <f aca="false">SUM(C20:C29)</f>
        <v>2077579</v>
      </c>
      <c r="D30" s="29" t="n">
        <f aca="false">SUM(D20:D29)</f>
        <v>3139054</v>
      </c>
      <c r="E30" s="29" t="n">
        <f aca="false">SUM(E20:E29)</f>
        <v>2844090</v>
      </c>
      <c r="F30" s="29" t="n">
        <f aca="false">SUM(F20:F29)</f>
        <v>9590600</v>
      </c>
    </row>
  </sheetData>
  <mergeCells count="2">
    <mergeCell ref="A1:E1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6"/>
    <col collapsed="false" customWidth="true" hidden="false" outlineLevel="0" max="6" min="5" style="0" width="16"/>
    <col collapsed="false" customWidth="true" hidden="false" outlineLevel="0" max="9" min="8" style="0" width="16"/>
    <col collapsed="false" customWidth="true" hidden="false" outlineLevel="0" max="12" min="11" style="0" width="16"/>
  </cols>
  <sheetData>
    <row r="1" customFormat="false" ht="9.75" hidden="false" customHeight="true" outlineLevel="0" collapsed="false"/>
    <row r="2" customFormat="false" ht="49.5" hidden="false" customHeight="true" outlineLevel="0" collapsed="false">
      <c r="B2" s="30" t="s">
        <v>284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4" customFormat="false" ht="21.75" hidden="false" customHeight="true" outlineLevel="0" collapsed="false">
      <c r="B4" s="31" t="s">
        <v>285</v>
      </c>
      <c r="C4" s="31"/>
      <c r="E4" s="32" t="s">
        <v>286</v>
      </c>
      <c r="F4" s="32"/>
      <c r="H4" s="33" t="s">
        <v>287</v>
      </c>
      <c r="I4" s="33"/>
      <c r="K4" s="34" t="s">
        <v>288</v>
      </c>
      <c r="L4" s="34"/>
    </row>
    <row r="5" customFormat="false" ht="31.5" hidden="false" customHeight="true" outlineLevel="0" collapsed="false">
      <c r="B5" s="35" t="n">
        <f aca="false">SUM('Sales Data'!H:H)</f>
        <v>9590600</v>
      </c>
      <c r="C5" s="35"/>
      <c r="E5" s="36" t="n">
        <f aca="false">SUM('Sales Data'!F:F)</f>
        <v>2238</v>
      </c>
      <c r="F5" s="36"/>
      <c r="H5" s="37" t="n">
        <f aca="false">COUNTA('Sales Data'!A3:A10000)-1</f>
        <v>215</v>
      </c>
      <c r="I5" s="37"/>
      <c r="K5" s="38" t="n">
        <f aca="false">IFERROR(SUM('Sales Data'!H:H)/COUNTA('Sales Data'!A3:A10000),0)</f>
        <v>44400.9259259259</v>
      </c>
      <c r="L5" s="38"/>
    </row>
    <row r="6" customFormat="false" ht="24" hidden="false" customHeight="true" outlineLevel="0" collapsed="false">
      <c r="B6" s="39" t="s">
        <v>289</v>
      </c>
      <c r="C6" s="39"/>
      <c r="E6" s="39" t="s">
        <v>289</v>
      </c>
      <c r="F6" s="39"/>
      <c r="H6" s="39" t="s">
        <v>289</v>
      </c>
      <c r="I6" s="39"/>
      <c r="K6" s="39" t="s">
        <v>289</v>
      </c>
      <c r="L6" s="39"/>
    </row>
    <row r="7" customFormat="false" ht="9.75" hidden="false" customHeight="true" outlineLevel="0" collapsed="false"/>
    <row r="9" customFormat="false" ht="26.85" hidden="false" customHeight="false" outlineLevel="0" collapsed="false">
      <c r="B9" s="2" t="s">
        <v>2</v>
      </c>
      <c r="C9" s="2" t="s">
        <v>290</v>
      </c>
      <c r="E9" s="2" t="s">
        <v>3</v>
      </c>
      <c r="F9" s="2" t="s">
        <v>291</v>
      </c>
      <c r="H9" s="2" t="s">
        <v>5</v>
      </c>
      <c r="I9" s="2" t="s">
        <v>292</v>
      </c>
    </row>
    <row r="10" customFormat="false" ht="15" hidden="false" customHeight="false" outlineLevel="0" collapsed="false">
      <c r="B10" s="40" t="s">
        <v>11</v>
      </c>
      <c r="C10" s="41" t="n">
        <f aca="false">SUMIF('Sales Data'!B:B,B10,'Sales Data'!H:H)</f>
        <v>787478</v>
      </c>
      <c r="E10" s="40" t="s">
        <v>12</v>
      </c>
      <c r="F10" s="41" t="n">
        <f aca="false">SUMIF('Sales Data'!C:C,E10,'Sales Data'!H:H)</f>
        <v>1529877</v>
      </c>
      <c r="H10" s="40" t="s">
        <v>33</v>
      </c>
      <c r="I10" s="41" t="n">
        <f aca="false">SUMIF('Sales Data'!E:E,H10,'Sales Data'!H:H)</f>
        <v>1361039</v>
      </c>
    </row>
    <row r="11" customFormat="false" ht="15" hidden="false" customHeight="false" outlineLevel="0" collapsed="false">
      <c r="B11" s="40" t="s">
        <v>49</v>
      </c>
      <c r="C11" s="41" t="n">
        <f aca="false">SUMIF('Sales Data'!B:B,B11,'Sales Data'!H:H)</f>
        <v>863182</v>
      </c>
      <c r="E11" s="40" t="s">
        <v>18</v>
      </c>
      <c r="F11" s="41" t="n">
        <f aca="false">SUMIF('Sales Data'!C:C,E11,'Sales Data'!H:H)</f>
        <v>2077579</v>
      </c>
      <c r="H11" s="40" t="s">
        <v>30</v>
      </c>
      <c r="I11" s="41" t="n">
        <f aca="false">SUMIF('Sales Data'!E:E,H11,'Sales Data'!H:H)</f>
        <v>2344635</v>
      </c>
    </row>
    <row r="12" customFormat="false" ht="15" hidden="false" customHeight="false" outlineLevel="0" collapsed="false">
      <c r="B12" s="40" t="s">
        <v>70</v>
      </c>
      <c r="C12" s="41" t="n">
        <f aca="false">SUMIF('Sales Data'!B:B,B12,'Sales Data'!H:H)</f>
        <v>518511</v>
      </c>
      <c r="E12" s="40" t="s">
        <v>28</v>
      </c>
      <c r="F12" s="41" t="n">
        <f aca="false">SUMIF('Sales Data'!C:C,E12,'Sales Data'!H:H)</f>
        <v>3139054</v>
      </c>
      <c r="H12" s="40" t="s">
        <v>97</v>
      </c>
      <c r="I12" s="41" t="n">
        <f aca="false">SUMIF('Sales Data'!E:E,H12,'Sales Data'!H:H)</f>
        <v>946653</v>
      </c>
    </row>
    <row r="13" customFormat="false" ht="15" hidden="false" customHeight="false" outlineLevel="0" collapsed="false">
      <c r="B13" s="40" t="s">
        <v>89</v>
      </c>
      <c r="C13" s="41" t="n">
        <f aca="false">SUMIF('Sales Data'!B:B,B13,'Sales Data'!H:H)</f>
        <v>1000679</v>
      </c>
      <c r="E13" s="40" t="s">
        <v>22</v>
      </c>
      <c r="F13" s="41" t="n">
        <f aca="false">SUMIF('Sales Data'!C:C,E13,'Sales Data'!H:H)</f>
        <v>2844090</v>
      </c>
      <c r="H13" s="40" t="s">
        <v>37</v>
      </c>
      <c r="I13" s="41" t="n">
        <f aca="false">SUMIF('Sales Data'!E:E,H13,'Sales Data'!H:H)</f>
        <v>1736920</v>
      </c>
    </row>
    <row r="14" customFormat="false" ht="15" hidden="false" customHeight="false" outlineLevel="0" collapsed="false">
      <c r="B14" s="40" t="s">
        <v>109</v>
      </c>
      <c r="C14" s="41" t="n">
        <f aca="false">SUMIF('Sales Data'!B:B,B14,'Sales Data'!H:H)</f>
        <v>881225</v>
      </c>
      <c r="H14" s="40" t="s">
        <v>14</v>
      </c>
      <c r="I14" s="41" t="n">
        <f aca="false">SUMIF('Sales Data'!E:E,H14,'Sales Data'!H:H)</f>
        <v>277100</v>
      </c>
    </row>
    <row r="15" customFormat="false" ht="15" hidden="false" customHeight="false" outlineLevel="0" collapsed="false">
      <c r="B15" s="40" t="s">
        <v>128</v>
      </c>
      <c r="C15" s="41" t="n">
        <f aca="false">SUMIF('Sales Data'!B:B,B15,'Sales Data'!H:H)</f>
        <v>641583</v>
      </c>
      <c r="H15" s="40" t="s">
        <v>39</v>
      </c>
      <c r="I15" s="41" t="n">
        <f aca="false">SUMIF('Sales Data'!E:E,H15,'Sales Data'!H:H)</f>
        <v>87813</v>
      </c>
    </row>
    <row r="16" customFormat="false" ht="15" hidden="false" customHeight="false" outlineLevel="0" collapsed="false">
      <c r="B16" s="40" t="s">
        <v>147</v>
      </c>
      <c r="C16" s="41" t="n">
        <f aca="false">SUMIF('Sales Data'!B:B,B16,'Sales Data'!H:H)</f>
        <v>533293</v>
      </c>
      <c r="H16" s="40" t="s">
        <v>26</v>
      </c>
      <c r="I16" s="41" t="n">
        <f aca="false">SUMIF('Sales Data'!E:E,H16,'Sales Data'!H:H)</f>
        <v>475174</v>
      </c>
    </row>
    <row r="17" customFormat="false" ht="15" hidden="false" customHeight="false" outlineLevel="0" collapsed="false">
      <c r="B17" s="40" t="s">
        <v>166</v>
      </c>
      <c r="C17" s="41" t="n">
        <f aca="false">SUMIF('Sales Data'!B:B,B17,'Sales Data'!H:H)</f>
        <v>852527</v>
      </c>
      <c r="H17" s="40" t="s">
        <v>24</v>
      </c>
      <c r="I17" s="41" t="n">
        <f aca="false">SUMIF('Sales Data'!E:E,H17,'Sales Data'!H:H)</f>
        <v>1550739</v>
      </c>
    </row>
    <row r="18" customFormat="false" ht="15" hidden="false" customHeight="false" outlineLevel="0" collapsed="false">
      <c r="B18" s="40" t="s">
        <v>185</v>
      </c>
      <c r="C18" s="41" t="n">
        <f aca="false">SUMIF('Sales Data'!B:B,B18,'Sales Data'!H:H)</f>
        <v>993340</v>
      </c>
      <c r="H18" s="40" t="s">
        <v>20</v>
      </c>
      <c r="I18" s="41" t="n">
        <f aca="false">SUMIF('Sales Data'!E:E,H18,'Sales Data'!H:H)</f>
        <v>503752</v>
      </c>
    </row>
    <row r="19" customFormat="false" ht="15" hidden="false" customHeight="false" outlineLevel="0" collapsed="false">
      <c r="B19" s="40" t="s">
        <v>204</v>
      </c>
      <c r="C19" s="41" t="n">
        <f aca="false">SUMIF('Sales Data'!B:B,B19,'Sales Data'!H:H)</f>
        <v>903686</v>
      </c>
      <c r="H19" s="40" t="s">
        <v>16</v>
      </c>
      <c r="I19" s="41" t="n">
        <f aca="false">SUMIF('Sales Data'!E:E,H19,'Sales Data'!H:H)</f>
        <v>306775</v>
      </c>
    </row>
    <row r="20" customFormat="false" ht="15" hidden="false" customHeight="false" outlineLevel="0" collapsed="false">
      <c r="B20" s="40" t="s">
        <v>223</v>
      </c>
      <c r="C20" s="41" t="n">
        <f aca="false">SUMIF('Sales Data'!B:B,B20,'Sales Data'!H:H)</f>
        <v>851108</v>
      </c>
    </row>
    <row r="21" customFormat="false" ht="15" hidden="false" customHeight="false" outlineLevel="0" collapsed="false">
      <c r="B21" s="40" t="s">
        <v>242</v>
      </c>
      <c r="C21" s="41" t="n">
        <f aca="false">SUMIF('Sales Data'!B:B,B21,'Sales Data'!H:H)</f>
        <v>763988</v>
      </c>
    </row>
  </sheetData>
  <mergeCells count="13">
    <mergeCell ref="B2:O2"/>
    <mergeCell ref="B4:C4"/>
    <mergeCell ref="E4:F4"/>
    <mergeCell ref="H4:I4"/>
    <mergeCell ref="K4:L4"/>
    <mergeCell ref="B5:C5"/>
    <mergeCell ref="E5:F5"/>
    <mergeCell ref="H5:I5"/>
    <mergeCell ref="K5:L5"/>
    <mergeCell ref="B6:C6"/>
    <mergeCell ref="E6:F6"/>
    <mergeCell ref="H6:I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2026-03-20T14:25:34Z</dcterms:created>
  <dc:creator>openpyxl</dc:creator>
  <dc:description/>
  <dc:language>en-US</dc:language>
  <cp:lastModifiedBy/>
  <dcterms:modified xsi:type="dcterms:W3CDTF">2026-03-20T14:25:47Z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